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tables/table1.xml" ContentType="application/vnd.openxmlformats-officedocument.spreadsheetml.table+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C Tracker" sheetId="2" state="visible" r:id="rId4"/>
    <sheet name="Methods" sheetId="3" state="visible" r:id="rId5"/>
    <sheet name="Dashboard" sheetId="4" state="visible" r:id="rId6"/>
    <sheet name="Experiments" sheetId="5" state="visible" r:id="rId7"/>
    <sheet name="Source data"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Columns A-L: copied from the uploaded QC sheet (Sheet2.csv, 2026-10-07); text as exported, with TRUE/FALSE and YES/NO shown as Yes/No. Columns M-AD: proposed automation design. Columns AE-AK: for the team to fill in. Source: Tool QC Automation - Sheet2.csv (post-wall QC export), uploaded 2026-10-07</t>
        </r>
      </text>
    </comment>
    <comment ref="AB2" authorId="0">
      <text>
        <r>
          <rPr>
            <sz val="10"/>
            <rFont val="Arial"/>
            <family val="2"/>
          </rPr>
          <t xml:space="preserve">Typical values for residential work, written from general practice, not from your standards. Replace with the numbers in your own spec and drawings before encoding any check.</t>
        </r>
      </text>
    </comment>
    <comment ref="AC2" authorId="0">
      <text>
        <r>
          <rPr>
            <sz val="10"/>
            <rFont val="Arial"/>
            <family val="2"/>
          </rPr>
          <t xml:space="preserve">Blank means this row is the first (canonical) check using its detector. A number points at the row whose detector also serves this check, so the two are built once.</t>
        </r>
      </text>
    </comment>
    <comment ref="AD2" authorId="0">
      <text>
        <r>
          <rPr>
            <sz val="10"/>
            <rFont val="Arial"/>
            <family val="2"/>
          </rPr>
          <t xml:space="preserve">Looked up from the Methods tab by the primary method code. Change the seconds there, not here.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Estimates of added site time per use, written as a starting point. Blue cells: replace with timings measured on site. Source: estimate.</t>
        </r>
      </text>
    </comment>
    <comment ref="G1" authorId="0">
      <text>
        <r>
          <rPr>
            <sz val="10"/>
            <rFont val="Arial"/>
            <family val="2"/>
          </rPr>
          <t xml:space="preserve">Count of tracker rows whose primary method is this code.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Source: Tool QC Automation - Sheet2.csv (post-wall QC export), uploaded 2026-10-07. 55 rows, all columns as exported; nothing changed.</t>
        </r>
      </text>
    </comment>
  </commentList>
</comments>
</file>

<file path=xl/sharedStrings.xml><?xml version="1.0" encoding="utf-8"?>
<sst xmlns="http://schemas.openxmlformats.org/spreadsheetml/2006/main" count="3036" uniqueCount="804">
  <si>
    <t xml:space="preserve">Post-wall QC automation tracker</t>
  </si>
  <si>
    <t xml:space="preserve">55 post-wall quality checks from the QC sheet, each mapped to the cheapest capture method that could automate it, with space to track the work.</t>
  </si>
  <si>
    <t xml:space="preserve">How to use this workbook</t>
  </si>
  <si>
    <t xml:space="preserve">QC Tracker</t>
  </si>
  <si>
    <t xml:space="preserve">One row per check. Columns A to L are copied from the QC sheet. Columns M to AD hold the proposed design for each check. Columns AE to AK (yellow) are yours to fill as work progresses. Filter and sort with the header buttons. The + controls above the columns collapse Stage/Task and the flag columns, leaving the check text, the design and the tracking in view.</t>
  </si>
  <si>
    <t xml:space="preserve">Methods</t>
  </si>
  <si>
    <t xml:space="preserve">The method codes used in the tracker: what each asks of the site engineer, the added seconds it costs (blue cells, estimates you can edit) and the accuracy to expect. Changing a time here updates the tracker and the dashboard.</t>
  </si>
  <si>
    <t xml:space="preserve">Dashboard</t>
  </si>
  <si>
    <t xml:space="preserve">Counts by status, method, automation level, confidence, check family and stage. Formulas only; nothing to type.</t>
  </si>
  <si>
    <t xml:space="preserve">Experiments</t>
  </si>
  <si>
    <t xml:space="preserve">A log of what was tried and decided. The first row is an example to overwrite.</t>
  </si>
  <si>
    <t xml:space="preserve">Source data</t>
  </si>
  <si>
    <t xml:space="preserve">The QC sheet export as received, for reference. Columns left out of the tracker: those identical on every row (Phase, Removal Status, GYRO+AI, 2D PHONE+AI, AI_NOT_ENABLED, measurement_type, hierarchy, 2_0_measurement_type), empty ones (capture_type, 2.0 Current, measurement_config) and admin fields (config_updated_on, stage_id, task_id, 2_0_measurement_config, qc_category, task_type).</t>
  </si>
  <si>
    <t xml:space="preserve">Legend</t>
  </si>
  <si>
    <t xml:space="preserve">Yellow fill</t>
  </si>
  <si>
    <t xml:space="preserve">Cells for the team to fill in.</t>
  </si>
  <si>
    <t xml:space="preserve">Blue text</t>
  </si>
  <si>
    <t xml:space="preserve">An estimate you can change (Methods tab, column D).</t>
  </si>
  <si>
    <t xml:space="preserve">Green text</t>
  </si>
  <si>
    <t xml:space="preserve">A formula that reads another tab.</t>
  </si>
  <si>
    <t xml:space="preserve">Grey text</t>
  </si>
  <si>
    <t xml:space="preserve">Copied from the QC sheet; edit it there.</t>
  </si>
  <si>
    <t xml:space="preserve">Definitions used in the tracker</t>
  </si>
  <si>
    <t xml:space="preserve">Full</t>
  </si>
  <si>
    <t xml:space="preserve">The capture, plus at most one requested photo, decides pass or fail. The SE reviews flags only.</t>
  </si>
  <si>
    <t xml:space="preserve">Partial</t>
  </si>
  <si>
    <t xml:space="preserve">The system screens and flags. The SE confirms borderline cases, or part of the check stays manual.</t>
  </si>
  <si>
    <t xml:space="preserve">Evidence</t>
  </si>
  <si>
    <t xml:space="preserve">The system records proof or an approval. The judgement stays with a person.</t>
  </si>
  <si>
    <t xml:space="preserve">Manual</t>
  </si>
  <si>
    <t xml:space="preserve">Stays with the SE and a physical tool. The app records the reading.</t>
  </si>
  <si>
    <t xml:space="preserve">Confidence</t>
  </si>
  <si>
    <t xml:space="preserve">How likely the primary method reaches useful accuracy in production with the current gyro capture: High, Medium or Low.</t>
  </si>
  <si>
    <t xml:space="preserve">Same detector as</t>
  </si>
  <si>
    <t xml:space="preserve">The ID of the check whose detector also serves this row. Build it once and run it at both stages.</t>
  </si>
  <si>
    <t xml:space="preserve">ARCore relevance</t>
  </si>
  <si>
    <t xml:space="preserve">Core: the measurement relies on ARCore poses, gravity, the floor plane or wall planes. Helps: better accuracy or robustness, but the check works without it. No: ARCore adds nothing to this check.</t>
  </si>
  <si>
    <t xml:space="preserve">Approach group</t>
  </si>
  <si>
    <t xml:space="preserve">The team's own plan for the check, in nine groups. Four gyro groups split by what Gemini has to judge: appearance (presence, finish, type), geometry (angles, plumb, level, alignment), height, or a known object used as the scale. Three new-action groups by what the SE does: phone IMU, a photo with the tape or tool in place, or a short video. Then Not a QC, and To be decided.</t>
  </si>
  <si>
    <t xml:space="preserve">SE columns</t>
  </si>
  <si>
    <t xml:space="preserve">SE Comments, Accuracy Requirements SE and Feasibility with Gyro are the site engineer's own notes, carried over from the tracker export.</t>
  </si>
  <si>
    <t xml:space="preserve">Distinct detectors</t>
  </si>
  <si>
    <t xml:space="preserve">Proposed pipeline from the existing gyro capture</t>
  </si>
  <si>
    <t xml:space="preserve">1. Gravity-align every frame with the gyro and accelerometer, then stitch the bands into one equirectangular panorama. The phone turns about a fixed point on the tripod, so stitching is a pure-rotation problem and is reliable.</t>
  </si>
  <si>
    <t xml:space="preserve">2. Run a room-layout model on the panorama to get the floor and ceiling boundaries and the corners. Set the metric scale from the camera height: either fix the tripod height (a mark on the stick) or let the app derive it from the floor-to-ceiling height in the drawing. No new site action is needed.</t>
  </si>
  <si>
    <t xml:space="preserve">3. Re-project the panorama into one flat elevation image per wall and one top-down image of the floor. Straight lines stay straight in these views, which the measurement checks rely on, and vision models read them better than a distorted panorama.</t>
  </si>
  <si>
    <t xml:space="preserve">4. Detect the elements each check needs (openings, boxes, pipe stubs, bands, skirting, tiles, grills, columns) and convert pixel positions to millimetres with the wall distance from step 2. Known objects in the scene (block height, tile size) give a second, finer scale.</t>
  </si>
  <si>
    <t xml:space="preserve">5. Send each check's crop, the drawing or specification values and the standard-heights table to the vision model with a check-specific prompt. It returns pass, flag or needs-a-photo.</t>
  </si>
  <si>
    <t xml:space="preserve">6. Only when a check needs it, the app asks the SE for one close-up photo (TAP) or a one-tap confirmation (ATTEST). The added site time stays at seconds per room.</t>
  </si>
  <si>
    <t xml:space="preserve">Using ARCore on the capture device</t>
  </si>
  <si>
    <t xml:space="preserve">Start the session at the door and walk to the tripod position with the camera on. Pure rotation on a tripod gives visual-inertial tracking nothing to work with; the walk-in sets the scale, finds the floor plane and usually some walls.</t>
  </si>
  <si>
    <t xml:space="preserve">Take from ARCore: the pose of every frame in a gravity-aligned world frame, the floor plane (camera height, with no fixed tripod height or ceiling height needed), calibrated intrinsics, and a session recording for cloud processing.</t>
  </si>
  <si>
    <t xml:space="preserve">Grab full-resolution stills through the shared camera and match them to poses by timestamp. ARCore's own image is 1 to 2 MP, which halves the measurement resolution.</t>
  </si>
  <si>
    <t xml:space="preserve">Depth-from-motion does not work during the sweep, and plane detection fails on painted walls. Tags on the datum line remain the reliable wall anchor at the putty and paint stages and wherever ±10 mm is wanted.</t>
  </si>
  <si>
    <t xml:space="preserve">Why not send the cylinder straight to the language model</t>
  </si>
  <si>
    <t xml:space="preserve">A vision model judges well and measures badly. It cannot tell 10 mm from 14 mm or 0.3° from 1°, and it reads distorted projections worse than flat ones. Use geometry to measure, and the model to judge finish, presence and spec matches. The stitched panorama or cylinder is still worth building: it is the best view for human review and the input for the layout model.</t>
  </si>
  <si>
    <t xml:space="preserve">What one viewpoint can and cannot do</t>
  </si>
  <si>
    <t xml:space="preserve">Heights and positions on a wall (G-GEO)</t>
  </si>
  <si>
    <t xml:space="preserve">About ±20–30 mm at 3 m; about ±5 mm with a tile or block as the ruler. Enough for standard heights, lintel and sill heights, skirting, the waterproofing line and box positions.</t>
  </si>
  <si>
    <t xml:space="preserve">Plumb and level of edges (G-PLUMB)</t>
  </si>
  <si>
    <t xml:space="preserve">About ±0.2°, which is ±7 mm over 2 m. Screens for gross errors; not a replacement for a plumb bob at ±3 mm.</t>
  </si>
  <si>
    <t xml:space="preserve">Alignment on the floor (G-FLOOR)</t>
  </si>
  <si>
    <t xml:space="preserve">About 1 mm with the tile as the ruler. Grout-line alignment and pattern.</t>
  </si>
  <si>
    <t xml:space="preserve">Close-up with a reference object (TAP)</t>
  </si>
  <si>
    <t xml:space="preserve">About 0.3–0.5 mm. Joint widths, granite thickness, weld surface.</t>
  </si>
  <si>
    <t xml:space="preserve">Angles between walls (G-GEO)</t>
  </si>
  <si>
    <t xml:space="preserve">About ±1°. Gross out-of-square rooms only.</t>
  </si>
  <si>
    <t xml:space="preserve">Not possible from one point</t>
  </si>
  <si>
    <t xml:space="preserve">Out-of-plane bow or flatness of a wall, tile lippage, anything hidden behind materials or outside the frames, functional tests such as latching, and process checks that happened earlier (vibration during a pour).</t>
  </si>
  <si>
    <t xml:space="preserve">What changes for the site engineer</t>
  </si>
  <si>
    <t xml:space="preserve">Close all shutters before the gyro capture (ID 127).</t>
  </si>
  <si>
    <t xml:space="preserve">Optional: one extra band at about −70° so the floor near the tripod is covered (G-FLOOR).</t>
  </si>
  <si>
    <t xml:space="preserve">A close-up photo only when the app asks. Four checks always need one (IDs 171, 176, 272, 441); a few others ask when the model is unsure.</t>
  </si>
  <si>
    <t xml:space="preserve">Phone laid on the mortar bed for the slope check (ID 206).</t>
  </si>
  <si>
    <t xml:space="preserve">One exterior capture per site for the compound wall (IDs 107 to 109).</t>
  </si>
  <si>
    <t xml:space="preserve">One-tap confirmations: vibrator evidence (69), latch test (127), client approval of the tile layout (199, 222).</t>
  </si>
  <si>
    <t xml:space="preserve">Suggested order of work</t>
  </si>
  <si>
    <t xml:space="preserve">1. G-GEO heights and positions, no added site time and high confidence: IDs 34, 40, 83, 128, 216, 317, 432, 433, 434, 437, 456. One detector family covers eleven checks.</t>
  </si>
  <si>
    <t xml:space="preserve">2. G-VIS presence and finish checks with the spec in the prompt: IDs 123, 125, 186, 219, 274, 286.</t>
  </si>
  <si>
    <t xml:space="preserve">3. G-FLOOR grout alignment (207) and the client approval flow (199, 222).</t>
  </si>
  <si>
    <t xml:space="preserve">4. G-PLUMB screening for openings, corners, walls and grills. Validate against plumb-bob readings before trusting it.</t>
  </si>
  <si>
    <t xml:space="preserve">5. TAP close-ups (171, 176, 272, 441), the IMU slope check (206), then the exterior capture (107 to 109).</t>
  </si>
  <si>
    <t xml:space="preserve">From your QC sheet (trimmed to the useful columns)</t>
  </si>
  <si>
    <t xml:space="preserve">Proposed automation design</t>
  </si>
  <si>
    <t xml:space="preserve">Your tracking (fill in)</t>
  </si>
  <si>
    <t xml:space="preserve">Ref</t>
  </si>
  <si>
    <t xml:space="preserve">ID (sno)</t>
  </si>
  <si>
    <t xml:space="preserve">Stage</t>
  </si>
  <si>
    <t xml:space="preserve">Task</t>
  </si>
  <si>
    <t xml:space="preserve">QC check</t>
  </si>
  <si>
    <t xml:space="preserve">Sub-phase</t>
  </si>
  <si>
    <t xml:space="preserve">Current SE method</t>
  </si>
  <si>
    <t xml:space="preserve">Priority</t>
  </si>
  <si>
    <t xml:space="preserve">No-go</t>
  </si>
  <si>
    <t xml:space="preserve">Level (2.0)</t>
  </si>
  <si>
    <t xml:space="preserve">Stage type</t>
  </si>
  <si>
    <t xml:space="preserve">In 2.0</t>
  </si>
  <si>
    <t xml:space="preserve">Live today</t>
  </si>
  <si>
    <t xml:space="preserve">Check family</t>
  </si>
  <si>
    <t xml:space="preserve">What to measure or judge</t>
  </si>
  <si>
    <t xml:space="preserve">SE Comments</t>
  </si>
  <si>
    <t xml:space="preserve">Accuracy Requirements SE</t>
  </si>
  <si>
    <t xml:space="preserve">Primary method</t>
  </si>
  <si>
    <t xml:space="preserve">Automation level</t>
  </si>
  <si>
    <t xml:space="preserve">Feasibility with Gyro</t>
  </si>
  <si>
    <t xml:space="preserve">Approach description</t>
  </si>
  <si>
    <t xml:space="preserve">How it would work</t>
  </si>
  <si>
    <t xml:space="preserve">How ARCore helps</t>
  </si>
  <si>
    <t xml:space="preserve">Fallback or upgrade</t>
  </si>
  <si>
    <t xml:space="preserve">Inputs the prompt needs</t>
  </si>
  <si>
    <t xml:space="preserve">Target tolerance (typical; confirm against your spec)</t>
  </si>
  <si>
    <t xml:space="preserve">Same detector as (ID)</t>
  </si>
  <si>
    <t xml:space="preserve">Extra SE time (s)</t>
  </si>
  <si>
    <t xml:space="preserve">Status</t>
  </si>
  <si>
    <t xml:space="preserve">Owner</t>
  </si>
  <si>
    <t xml:space="preserve">Target sprint</t>
  </si>
  <si>
    <t xml:space="preserve">Validation accuracy</t>
  </si>
  <si>
    <t xml:space="preserve">Validation sample (n)</t>
  </si>
  <si>
    <t xml:space="preserve">Last updated</t>
  </si>
  <si>
    <t xml:space="preserve">Notes</t>
  </si>
  <si>
    <t xml:space="preserve">qc_id</t>
  </si>
  <si>
    <t xml:space="preserve">Casting the lintels,staircase, blockwork upto the slab level</t>
  </si>
  <si>
    <t xml:space="preserve">Blockwork upto Beam/Slab bottom level</t>
  </si>
  <si>
    <t xml:space="preserve">All the openings are at right angles and are vertical.</t>
  </si>
  <si>
    <t xml:space="preserve">PostWall Non Putty</t>
  </si>
  <si>
    <t xml:space="preserve">Tools</t>
  </si>
  <si>
    <t xml:space="preserve">CRITICAL</t>
  </si>
  <si>
    <t xml:space="preserve">No</t>
  </si>
  <si>
    <t xml:space="preserve">Space</t>
  </si>
  <si>
    <t xml:space="preserve">Floorwise</t>
  </si>
  <si>
    <t xml:space="preserve">Yes</t>
  </si>
  <si>
    <t xml:space="preserve">Squareness and plumb</t>
  </si>
  <si>
    <t xml:space="preserve">Jamb lean against gravity; jamb-to-soffit angle, per opening.</t>
  </si>
  <si>
    <t xml:space="preserve">Use All Gyro three Angles for this</t>
  </si>
  <si>
    <t xml:space="preserve">G-PLUMB</t>
  </si>
  <si>
    <t xml:space="preserve">Medium</t>
  </si>
  <si>
    <t xml:space="preserve">High</t>
  </si>
  <si>
    <t xml:space="preserve">Gyro + Gemini: geometry</t>
  </si>
  <si>
    <t xml:space="preserve">Select the gyro frames that show the openings; Gemini checks for right angles.</t>
  </si>
  <si>
    <t xml:space="preserve">Gravity-align the frames with the gyro, rectify each wall to a flat elevation view and detect the opening edges. Jambs should be vertical and the soffit horizontal; report the lean in mm over the opening height and the corner angle. Flags go to the SE.</t>
  </si>
  <si>
    <t xml:space="preserve">Helps</t>
  </si>
  <si>
    <t xml:space="preserve">Gravity-aligned world frame gives the vertical reference in every frame, and the poses tie the bands so the full jamb height sits in one wall view. Gravity is good to about 0.1–0.3°, so this stays a screening check.</t>
  </si>
  <si>
    <t xml:space="preserve">BT-TOOL digital level on flagged openings only. The vertical vanishing point of the room's own edges can refine the gyro's gravity estimate.</t>
  </si>
  <si>
    <t xml:space="preserve">Plumb tolerance.</t>
  </si>
  <si>
    <t xml:space="preserve">Plumb within 5 mm over the opening height; 90° ± 0.5°</t>
  </si>
  <si>
    <t xml:space="preserve">Not started</t>
  </si>
  <si>
    <t xml:space="preserve">ff808081818cac9e01818cb0c02e0051</t>
  </si>
  <si>
    <t xml:space="preserve">Blockwork has been checked in vertical and horizontal directions and is found to be straight.</t>
  </si>
  <si>
    <t xml:space="preserve">Wall</t>
  </si>
  <si>
    <t xml:space="preserve">Alignment and straightness</t>
  </si>
  <si>
    <t xml:space="preserve">Straightness of courses (horizontal) and perpends or wall ends (vertical) in the wall plane.</t>
  </si>
  <si>
    <t xml:space="preserve">Critical has to be accurate</t>
  </si>
  <si>
    <t xml:space="preserve">5mm to 10mm</t>
  </si>
  <si>
    <t xml:space="preserve">Low</t>
  </si>
  <si>
    <t xml:space="preserve">New action: phone IMU</t>
  </si>
  <si>
    <t xml:space="preserve">Use the phone IMU, or have the SE take a photo with the tool placed on the wall.</t>
  </si>
  <si>
    <t xml:space="preserve">On the rectified wall view, detect the mortar lines, fit straight lines and report the largest deviation; the block height gives the mm scale. This checks in-plane alignment. A bow toward or away from the camera is not visible from one viewpoint.</t>
  </si>
  <si>
    <t xml:space="preserve">Poses give the flat per-wall view and tie the bands. Blockwork is textured enough for vertical-plane detection, which supplies the wall plane for that view.</t>
  </si>
  <si>
    <t xml:space="preserve">Straightedge by the SE on flagged walls; a BT laser meter read at three points along the wall gives the bow.</t>
  </si>
  <si>
    <t xml:space="preserve">Block size (mm); straightness tolerance.</t>
  </si>
  <si>
    <t xml:space="preserve">About 6 mm over 3 m</t>
  </si>
  <si>
    <t xml:space="preserve">ff808081818cac9e01818cb0c02e0052</t>
  </si>
  <si>
    <t xml:space="preserve">Check for plumb in door and window openings</t>
  </si>
  <si>
    <t xml:space="preserve">Plumb and level</t>
  </si>
  <si>
    <t xml:space="preserve">Jamb lean against gravity.</t>
  </si>
  <si>
    <t xml:space="preserve">Use the phone IMU, or have the SE take a photo with the tool placed in the opening.</t>
  </si>
  <si>
    <t xml:space="preserve">Same detector as ID 30: this is the vertical component of the opening check.</t>
  </si>
  <si>
    <t xml:space="preserve">Same as ID 30: gravity reference and band linkage.</t>
  </si>
  <si>
    <t xml:space="preserve">BT-TOOL on flagged openings.</t>
  </si>
  <si>
    <t xml:space="preserve">Within 5 mm over the opening height</t>
  </si>
  <si>
    <t xml:space="preserve">ff808081818cac9e01818cb0c02e0055</t>
  </si>
  <si>
    <t xml:space="preserve">concrete band is provided at the height of 4feet as per standards</t>
  </si>
  <si>
    <t xml:space="preserve">Tape</t>
  </si>
  <si>
    <t xml:space="preserve">REGULAR</t>
  </si>
  <si>
    <t xml:space="preserve">Height and position</t>
  </si>
  <si>
    <t xml:space="preserve">Height of the band's top and bottom edges above floor level, per wall.</t>
  </si>
  <si>
    <t xml:space="preserve">3ft-4ft</t>
  </si>
  <si>
    <t xml:space="preserve">G-GEO</t>
  </si>
  <si>
    <t xml:space="preserve">New action: photo with tape or tool</t>
  </si>
  <si>
    <t xml:space="preserve">SE takes a photo with the measuring tape held against the band.</t>
  </si>
  <si>
    <t xml:space="preserve">The band is a distinct concrete strip in the blockwork. Segment it on each rectified wall and convert its edges to heights using the camera height and the wall distance from the room layout. Compare with 1200 mm.</t>
  </si>
  <si>
    <t xml:space="preserve">Core</t>
  </si>
  <si>
    <t xml:space="preserve">Floor plane gives the camera height and a floor reference even where the junction is hidden; poses and intrinsics turn the band's edges into heights.</t>
  </si>
  <si>
    <t xml:space="preserve">TAP photo with a tape held against the band.</t>
  </si>
  <si>
    <t xml:space="preserve">Band height standard (1200 mm); band depth from the structural drawing.</t>
  </si>
  <si>
    <t xml:space="preserve">1200 mm ± 25 mm</t>
  </si>
  <si>
    <t xml:space="preserve">cd843141-8f6e-4561-8586-35477991dd9e</t>
  </si>
  <si>
    <t xml:space="preserve">Mortar thickness is checked and is found to be ok.</t>
  </si>
  <si>
    <t xml:space="preserve">Thickness and joints</t>
  </si>
  <si>
    <t xml:space="preserve">Average and local mortar joint thickness.</t>
  </si>
  <si>
    <t xml:space="preserve">10mm to 15mm</t>
  </si>
  <si>
    <t xml:space="preserve">Gyro + Gemini: known object as scale</t>
  </si>
  <si>
    <t xml:space="preserve">Blocks come in about 10 types. Gemini identifies the block type and judges the mortar thickness relative to the block; one block type has no mortar.</t>
  </si>
  <si>
    <t xml:space="preserve">Average joint = course pitch minus block height, measured over several courses on the rectified wall (the block is the ruler). Local joints wider than about 15 mm show at 1 mm per pixel; finer differences do not.</t>
  </si>
  <si>
    <t xml:space="preserve">Vertical-plane detection on blockwork gives the mm-per-pixel scale on the wall. The block height remains the finer ruler.</t>
  </si>
  <si>
    <t xml:space="preserve">TAP close-up with a block edge in frame for exact joints. Thin-bed AAC joints (3–4 mm) always need the close-up.</t>
  </si>
  <si>
    <t xml:space="preserve">Block height (mm); mortar type (conventional or thin-bed).</t>
  </si>
  <si>
    <t xml:space="preserve">10 mm ± 3 mm conventional; 3–4 mm thin-bed</t>
  </si>
  <si>
    <t xml:space="preserve">ff808081818cac9e01818cb0c02e0053</t>
  </si>
  <si>
    <t xml:space="preserve">Sofit of the doors and windows are in tube level</t>
  </si>
  <si>
    <t xml:space="preserve">Soffit height of every opening; soffit line horizontal.</t>
  </si>
  <si>
    <t xml:space="preserve">Select the gyro frames that show the openings; Gemini checks the soffits for level, same frames as the right-angle check.</t>
  </si>
  <si>
    <t xml:space="preserve">Soffit heights from the rectified walls (about ±20 mm) compared across all openings in the room, and each soffit line checked against gravity. Catches an opening set 30 mm high; cannot match a tube level's millimetres.</t>
  </si>
  <si>
    <t xml:space="preserve">Gravity frame defines horizontal and the floor plane fixes one height datum, so soffit heights across openings and walls share a reference.</t>
  </si>
  <si>
    <t xml:space="preserve">BT laser level or digital level on flagged openings.</t>
  </si>
  <si>
    <t xml:space="preserve">Lintel height from the drawing.</t>
  </si>
  <si>
    <t xml:space="preserve">Within 10 mm between openings</t>
  </si>
  <si>
    <t xml:space="preserve">c5d36f17-44a3-476d-946c-0423ce285889</t>
  </si>
  <si>
    <t xml:space="preserve">Verticality of the column is checked above the lintel</t>
  </si>
  <si>
    <t xml:space="preserve">Column edge lean against gravity above lintel level.</t>
  </si>
  <si>
    <t xml:space="preserve">Place the phone's edge against the column at the joint above the lintel and read the tilt.</t>
  </si>
  <si>
    <t xml:space="preserve">Columns read as concrete against blockwork before plaster. Detect both edges on the rectified wall view and measure the lean over the visible height.</t>
  </si>
  <si>
    <t xml:space="preserve">Gravity reference for the column edges; poses tie the bands over the column's height.</t>
  </si>
  <si>
    <t xml:space="preserve">BT-TOOL or plumb bob on flagged columns.</t>
  </si>
  <si>
    <t xml:space="preserve">Column plumb tolerance from the structural spec.</t>
  </si>
  <si>
    <t xml:space="preserve">Per structural spec</t>
  </si>
  <si>
    <t xml:space="preserve">df23d09d-c89f-42e5-a4d8-57e704290479</t>
  </si>
  <si>
    <t xml:space="preserve">During Lintel casting and curing</t>
  </si>
  <si>
    <t xml:space="preserve">All the Lintels at the openings are placed at standards heights as per the drawing</t>
  </si>
  <si>
    <t xml:space="preserve">Lintel soffit height above floor, per opening.</t>
  </si>
  <si>
    <t xml:space="preserve">7ft (Depends on the door/window size)</t>
  </si>
  <si>
    <t xml:space="preserve">SE takes a photo with the measuring tape from floor to lintel.</t>
  </si>
  <si>
    <t xml:space="preserve">Lintel soffit height from the rectified wall view against the height given in the drawing for that opening.</t>
  </si>
  <si>
    <t xml:space="preserve">Floor plane gives the height reference; poses and intrinsics give the soffit height per opening.</t>
  </si>
  <si>
    <t xml:space="preserve">TAP with a tape.</t>
  </si>
  <si>
    <t xml:space="preserve">Lintel heights from the drawing (for example 2100 mm).</t>
  </si>
  <si>
    <t xml:space="preserve">± 25 mm</t>
  </si>
  <si>
    <t xml:space="preserve">fa098a6a-46e0-44ff-9383-9b350dcc700b</t>
  </si>
  <si>
    <t xml:space="preserve">Lintel Shuttering and Reinforcement</t>
  </si>
  <si>
    <t xml:space="preserve">Standard lintel dimension has been maintained as per structural drawing.</t>
  </si>
  <si>
    <t xml:space="preserve">Size against drawing</t>
  </si>
  <si>
    <t xml:space="preserve">Lintel depth and bearing length each side; width equals the wall thickness.</t>
  </si>
  <si>
    <t xml:space="preserve">SE takes a photo with the measuring tape across the lintel.</t>
  </si>
  <si>
    <t xml:space="preserve">Depth and bearing are visible as the concrete band around the opening before plaster; measure them on the rectified wall (about ±10–20 mm). Width cannot be seen from inside the room.</t>
  </si>
  <si>
    <t xml:space="preserve">Wall plane distance (plane detection or a tag) with the intrinsics gives lintel depth and bearing in mm.</t>
  </si>
  <si>
    <t xml:space="preserve">TAP with a tape across the lintel.</t>
  </si>
  <si>
    <t xml:space="preserve">Structural drawing (depth, bearing).</t>
  </si>
  <si>
    <t xml:space="preserve">± 10 mm</t>
  </si>
  <si>
    <t xml:space="preserve">8a7483bc8adaa888018add7add9d0004</t>
  </si>
  <si>
    <t xml:space="preserve">Staircase During Concreting</t>
  </si>
  <si>
    <t xml:space="preserve">Concrete is compacted properly using vibrators.</t>
  </si>
  <si>
    <t xml:space="preserve">Process and approval</t>
  </si>
  <si>
    <t xml:space="preserve">Vibrator used during the pour; no honeycombing after deshuttering.</t>
  </si>
  <si>
    <t xml:space="preserve">Turn on vibrator before starting gyro</t>
  </si>
  <si>
    <t xml:space="preserve">ATTEST</t>
  </si>
  <si>
    <t xml:space="preserve">New action: short video</t>
  </si>
  <si>
    <t xml:space="preserve">Short video focused on the concreting with the vibrator running. SE: turn the vibrator on before starting the gyro.</t>
  </si>
  <si>
    <t xml:space="preserve">During the pour, a mandatory ten-second video or photo of the vibrator in use. After deshuttering, the staircase gyro frames go through the vision model for honeycombing, voids and segregation on the waist slab, risers and soffit.</t>
  </si>
  <si>
    <t xml:space="preserve">A process record. Honeycomb screening after deshuttering uses the ordinary frames.</t>
  </si>
  <si>
    <t xml:space="preserve">TAP close-ups of suspect patches.</t>
  </si>
  <si>
    <t xml:space="preserve">None.</t>
  </si>
  <si>
    <t xml:space="preserve">No honeycombing visible</t>
  </si>
  <si>
    <t xml:space="preserve">ff808081818cac9e01818cb0c02d004c</t>
  </si>
  <si>
    <t xml:space="preserve">Column rising, blockwork upto lintel level</t>
  </si>
  <si>
    <t xml:space="preserve">Blockwork base course</t>
  </si>
  <si>
    <t xml:space="preserve">Straightness of the base course in both directions.</t>
  </si>
  <si>
    <t xml:space="preserve">Same detector as ID 31, run at the base-course stage.</t>
  </si>
  <si>
    <t xml:space="preserve">Same as ID 31.</t>
  </si>
  <si>
    <t xml:space="preserve">Straightedge on flagged walls.</t>
  </si>
  <si>
    <t xml:space="preserve">Block size (mm).</t>
  </si>
  <si>
    <t xml:space="preserve">Average and local mortar joint thickness at the base course.</t>
  </si>
  <si>
    <t xml:space="preserve">Same detector as ID 36, run at the base-course stage.</t>
  </si>
  <si>
    <t xml:space="preserve">Same as ID 36.</t>
  </si>
  <si>
    <t xml:space="preserve">TAP close-up with a block edge in frame.</t>
  </si>
  <si>
    <t xml:space="preserve">Block height (mm); mortar type.</t>
  </si>
  <si>
    <t xml:space="preserve">10 mm ± 3 mm conventional</t>
  </si>
  <si>
    <t xml:space="preserve">Blockwork upto Lintel</t>
  </si>
  <si>
    <t xml:space="preserve">Jamb lean and jamb-to-soffit angle, per opening.</t>
  </si>
  <si>
    <t xml:space="preserve">Same detector as ID 30, run at the lintel-level stage.</t>
  </si>
  <si>
    <t xml:space="preserve">Same as ID 30.</t>
  </si>
  <si>
    <t xml:space="preserve">Within 5 mm; 90° ± 0.5°</t>
  </si>
  <si>
    <t xml:space="preserve">Same detector as ID 30 (vertical component), run at the lintel-level stage.</t>
  </si>
  <si>
    <t xml:space="preserve">Sill concrete is provided at the standrad height as per drawing/Spec</t>
  </si>
  <si>
    <t xml:space="preserve">Sill top height above floor, per window.</t>
  </si>
  <si>
    <t xml:space="preserve">To be decided</t>
  </si>
  <si>
    <t xml:space="preserve">The sill band is visible before plaster. Height of its top edge on the rectified wall against the drawing.</t>
  </si>
  <si>
    <t xml:space="preserve">Floor plane gives the height reference for the sill top; poses and intrinsics do the conversion.</t>
  </si>
  <si>
    <t xml:space="preserve">Sill heights from the drawing (for example 900 mm).</t>
  </si>
  <si>
    <t xml:space="preserve">383aa31e-d270-4190-b755-653c93a94b0b</t>
  </si>
  <si>
    <t xml:space="preserve">Verticality of the walls has been checked and is good to go.</t>
  </si>
  <si>
    <t xml:space="preserve">Wall lean.</t>
  </si>
  <si>
    <t xml:space="preserve">Place the phone flat against the wall at two or three points and read the tilt.</t>
  </si>
  <si>
    <t xml:space="preserve">Corner lines checked against gravity. A lean toward or away from the camera does not show as a slanted line, so also compare each wall's floor-line and ceiling-line distances from the layout; the difference is the lean over the full height (resolves about 30 mm).</t>
  </si>
  <si>
    <t xml:space="preserve">Vertical-plane detection returns each wall's normal; its angle to gravity is the lean, independent of edge detection. Plane normals are good to roughly 0.5–1°, so screening only, and detection fails on untextured walls.</t>
  </si>
  <si>
    <t xml:space="preserve">BT-TOOL digital level or plumb bob on flagged walls.</t>
  </si>
  <si>
    <t xml:space="preserve">About 6 mm per 3 m</t>
  </si>
  <si>
    <t xml:space="preserve">ff808081818cac9e01818cb0c02e0054</t>
  </si>
  <si>
    <t xml:space="preserve">Compound wall</t>
  </si>
  <si>
    <t xml:space="preserve">Block work and plastering compound wall</t>
  </si>
  <si>
    <t xml:space="preserve">Buttress in masonry or concrete at regular intervals has been provided to avoid long length of compound wall</t>
  </si>
  <si>
    <t xml:space="preserve">COMPOUND WALL(Post Wall)</t>
  </si>
  <si>
    <t xml:space="preserve">One-time</t>
  </si>
  <si>
    <t xml:space="preserve">Presence and spec match</t>
  </si>
  <si>
    <t xml:space="preserve">Buttress count and spacing along the compound wall.</t>
  </si>
  <si>
    <t xml:space="preserve">EXT</t>
  </si>
  <si>
    <t xml:space="preserve">A walking video along the compound wall, or gyro captures at two or three points in the plot. Detect the buttresses, count them and get the spacing from the wall length in the plot drawing.</t>
  </si>
  <si>
    <t xml:space="preserve">Outdoors, ARCore tracks the walking video, so buttress positions come from the camera path and spacing is measured without the plot drawing.</t>
  </si>
  <si>
    <t xml:space="preserve">TAP photo per stretch with a count.</t>
  </si>
  <si>
    <t xml:space="preserve">Plot drawing (wall lengths); buttress spacing standard.</t>
  </si>
  <si>
    <t xml:space="preserve">Spacing at or under the spec</t>
  </si>
  <si>
    <t xml:space="preserve">442ef689-57e1-4c31-84d5-d54a595305ca</t>
  </si>
  <si>
    <t xml:space="preserve">Height &amp; Width of compound wall is as per specification.</t>
  </si>
  <si>
    <t xml:space="preserve">Wall height; wall thickness.</t>
  </si>
  <si>
    <t xml:space="preserve">Measurement</t>
  </si>
  <si>
    <t xml:space="preserve">Height from the exterior capture with the camera height known (about ±30 mm). Thickness needs a view of the top or an end: one TAP photo with a block as the scale.</t>
  </si>
  <si>
    <t xml:space="preserve">Ground plane and poses give the wall height from the walking video; a hit test on the wall top in a close-up gives the thickness.</t>
  </si>
  <si>
    <t xml:space="preserve">BT laser meter.</t>
  </si>
  <si>
    <t xml:space="preserve">Spec height and width.</t>
  </si>
  <si>
    <t xml:space="preserve">bc6e0ab5-392e-4e22-8d9d-da7501956afa</t>
  </si>
  <si>
    <t xml:space="preserve">Plastering surface is level and free from undulations.</t>
  </si>
  <si>
    <t xml:space="preserve">Surface finish</t>
  </si>
  <si>
    <t xml:space="preserve">Gross undulations, patches and cracks in the plaster.</t>
  </si>
  <si>
    <t xml:space="preserve">The vision model reads the exterior frames for gross undulations, patches and cracks, best in low sun or with a torch at a grazing angle. Millimetre flatness is not visible.</t>
  </si>
  <si>
    <t xml:space="preserve">Poses let the frames be rectified per stretch of wall for the vision model. No help with flatness.</t>
  </si>
  <si>
    <t xml:space="preserve">MANUAL 2 m straightedge, reading recorded in the app.</t>
  </si>
  <si>
    <t xml:space="preserve">About 3 mm under a 2 m straightedge</t>
  </si>
  <si>
    <t xml:space="preserve">fba86fa1-ea2a-4af4-a7e4-f0af5f95ced7</t>
  </si>
  <si>
    <t xml:space="preserve">Completion of SSM (If SSM under compound beam)</t>
  </si>
  <si>
    <t xml:space="preserve">SSM top level and width to be checked</t>
  </si>
  <si>
    <t xml:space="preserve">Top level of the SSM against the datum; width.</t>
  </si>
  <si>
    <t xml:space="preserve">MANUAL</t>
  </si>
  <si>
    <t xml:space="preserve">Levels need an instrument. The SE records the auto-level or laser readings in the app with a photo. Width from a TAP photo with a tape.</t>
  </si>
  <si>
    <t xml:space="preserve">A level-instrument job. ARCore planes are good to a few cm, far from a level's millimetres.</t>
  </si>
  <si>
    <t xml:space="preserve">A BT laser level with a receiver could feed the app directly.</t>
  </si>
  <si>
    <t xml:space="preserve">Drawing (level, width).</t>
  </si>
  <si>
    <t xml:space="preserve">Per drawing</t>
  </si>
  <si>
    <t xml:space="preserve">7d2bc1aa-e54e-4453-b014-535a27d5da9d</t>
  </si>
  <si>
    <t xml:space="preserve">PCC for SSM (If SSM under compound beam)</t>
  </si>
  <si>
    <t xml:space="preserve">SSM layout to be checked</t>
  </si>
  <si>
    <t xml:space="preserve">Footing positions against the plan.</t>
  </si>
  <si>
    <t xml:space="preserve">Photo of the laid-out lines with the tape and the drawing, kept as the record.</t>
  </si>
  <si>
    <t xml:space="preserve">An optional AR measure action: the SE taps the footing corners and a hit test returns their positions to a few cm for an overlay on the plan.</t>
  </si>
  <si>
    <t xml:space="preserve">A photo from an elevated point (first floor or terrace) with four marked reference points can be warped onto the plan for a direct overlay.</t>
  </si>
  <si>
    <t xml:space="preserve">Foundation plan.</t>
  </si>
  <si>
    <t xml:space="preserve">edc4737e-d143-4300-946e-11589541d450</t>
  </si>
  <si>
    <t xml:space="preserve">Doors &amp; Windows</t>
  </si>
  <si>
    <t xml:space="preserve">Windows and Doors installation</t>
  </si>
  <si>
    <t xml:space="preserve">Doors/ windows/ ventilator grill fixing finishing is uniform</t>
  </si>
  <si>
    <t xml:space="preserve">POST PUTTY</t>
  </si>
  <si>
    <t xml:space="preserve">Even gaps, clean sealant line, no visible fasteners or damage.</t>
  </si>
  <si>
    <t xml:space="preserve">G-VIS</t>
  </si>
  <si>
    <t xml:space="preserve">Gyro + Gemini: appearance</t>
  </si>
  <si>
    <t xml:space="preserve">Select the gyro frames that show the doors, windows and grills; Gemini checks that the finishing is uniform.</t>
  </si>
  <si>
    <t xml:space="preserve">The vision model reads a crop of each door, window and grill from the gyro frames with a short rubric: gap evenness, sealant line, fastener heads, scratches, damage.</t>
  </si>
  <si>
    <t xml:space="preserve">A rectified per-opening crop from the poses makes even gaps easier to judge. The judgement itself is still visual.</t>
  </si>
  <si>
    <t xml:space="preserve">TAP close-up where the model is unsure.</t>
  </si>
  <si>
    <t xml:space="preserve">Finish rubric (what uniform means for your packages).</t>
  </si>
  <si>
    <t xml:space="preserve">Rubric pass</t>
  </si>
  <si>
    <t xml:space="preserve">298f35ed30e44a9395614cef23eef52b</t>
  </si>
  <si>
    <t xml:space="preserve">Doors/windows/ventilators are as per specified size and design</t>
  </si>
  <si>
    <t xml:space="preserve">Frame width and height; design against spec.</t>
  </si>
  <si>
    <t xml:space="preserve">Width and height of each frame from the rectified wall (about ±30 mm separates catalogue sizes such as 900 and 1000 mm). Design matched by the vision model against the BOQ line or a reference image for the package (type, material, track count, mesh).</t>
  </si>
  <si>
    <t xml:space="preserve">Wall plane and intrinsics give frame width and height in mm; the floor plane gives the sill height. The design match stays with the vision model.</t>
  </si>
  <si>
    <t xml:space="preserve">TAP with a tape for borderline sizes.</t>
  </si>
  <si>
    <t xml:space="preserve">Door and window schedule; BOQ or package spec with reference images.</t>
  </si>
  <si>
    <t xml:space="preserve">Size ± 25 mm; design must match</t>
  </si>
  <si>
    <t xml:space="preserve">bb228272843f424e8719dbd72218d8c1</t>
  </si>
  <si>
    <t xml:space="preserve">Doors/windows/ventilators shutters are fine, in level and latches when closed</t>
  </si>
  <si>
    <t xml:space="preserve">Functional</t>
  </si>
  <si>
    <t xml:space="preserve">Shutter alignment and gaps; latching.</t>
  </si>
  <si>
    <t xml:space="preserve">Select the gyro frames that show the shutters; Gemini checks alignment and level. Latching still needs the SE.</t>
  </si>
  <si>
    <t xml:space="preserve">Ask the SE to close all shutters before the gyro capture; the vision model then checks even gaps and alignment. Latching is a one-tap confirmation per door and window.</t>
  </si>
  <si>
    <t xml:space="preserve">Gravity frame lets the shutter's top edge be checked for level in the same view. The latch test stays a tap.</t>
  </si>
  <si>
    <t xml:space="preserve">IMU: phone laid on the shutter's top edge for level. A short video of the latch.</t>
  </si>
  <si>
    <t xml:space="preserve">Even gap; latch engages</t>
  </si>
  <si>
    <t xml:space="preserve">a599e957e81243c0a7223dcdbfb05068</t>
  </si>
  <si>
    <t xml:space="preserve">Door/Windows/Ventilator are placed as per the drawings and the sill height is good</t>
  </si>
  <si>
    <t xml:space="preserve">Opening position along the wall; sill height.</t>
  </si>
  <si>
    <t xml:space="preserve">7ft (Depends on the door/window size in floor plan)</t>
  </si>
  <si>
    <t xml:space="preserve">Each opening is located on its wall from the layout (distance from the corner) and its sill height is read, both compared with the drawing.</t>
  </si>
  <si>
    <t xml:space="preserve">Poses and wall planes place each opening on the floor plan; the floor plane gives the sill height.</t>
  </si>
  <si>
    <t xml:space="preserve">Floor plan and window schedule.</t>
  </si>
  <si>
    <t xml:space="preserve">Position ± 50 mm; sill ± 25 mm</t>
  </si>
  <si>
    <t xml:space="preserve">d9b51ac715df43b983131a0033fd65ed</t>
  </si>
  <si>
    <t xml:space="preserve">Fabrication works</t>
  </si>
  <si>
    <t xml:space="preserve">Fabrication works - Staircase and Balcony railing , Chamber covers, Gate complete</t>
  </si>
  <si>
    <t xml:space="preserve">check for chamber cover specifications</t>
  </si>
  <si>
    <t xml:space="preserve">Fabrication(Post Puttyl)</t>
  </si>
  <si>
    <t xml:space="preserve">Chamber cover size, type and material.</t>
  </si>
  <si>
    <t xml:space="preserve">TAP</t>
  </si>
  <si>
    <t xml:space="preserve">One photo per chamber with a tape or a known tile in frame. The vision model checks type and material against the spec (RCC, CI, SFRC, frame); size from the reference object.</t>
  </si>
  <si>
    <t xml:space="preserve">During the close-up, a hit test gives the camera-to-cover distance, so the pixel scale is known without a tape in frame.</t>
  </si>
  <si>
    <t xml:space="preserve">Include the chambers in the exterior capture (EXT).</t>
  </si>
  <si>
    <t xml:space="preserve">BOQ spec for chamber covers.</t>
  </si>
  <si>
    <t xml:space="preserve">As per spec</t>
  </si>
  <si>
    <t xml:space="preserve">ff808081818cac9e01818cb0c03c00f2</t>
  </si>
  <si>
    <t xml:space="preserve">Check for height, verticality,alignment&amp;Spacing</t>
  </si>
  <si>
    <t xml:space="preserve">Railing height; baluster spacing; post plumb.</t>
  </si>
  <si>
    <t xml:space="preserve">SE takes a photo with the measuring tape on the railing.</t>
  </si>
  <si>
    <t xml:space="preserve">Needs the staircase and balcony as capture points. Height from the floor line (about ±20 mm), spacing from the rectified view scaled by the railing height, posts checked against gravity.</t>
  </si>
  <si>
    <t xml:space="preserve">Floor plane (or the stair-tread plane) gives the railing height; poses tie the frames along the stair; gravity gives post plumb.</t>
  </si>
  <si>
    <t xml:space="preserve">TAP with a tape; BT-TOOL on flagged posts.</t>
  </si>
  <si>
    <t xml:space="preserve">Railing spec (height, maximum gap).</t>
  </si>
  <si>
    <t xml:space="preserve">Height ± 20 mm; gap at or under spec</t>
  </si>
  <si>
    <t xml:space="preserve">ff808081818cac9e01818cb0c03c00ed</t>
  </si>
  <si>
    <t xml:space="preserve">Check for welding thickness &amp; joints</t>
  </si>
  <si>
    <t xml:space="preserve">Workmanship defect</t>
  </si>
  <si>
    <t xml:space="preserve">Weld surface quality; throat thickness.</t>
  </si>
  <si>
    <t xml:space="preserve">Select the gyro frames that show the welded joints; Gemini checks them.</t>
  </si>
  <si>
    <t xml:space="preserve">Close-up photos of the joints; the vision model screens for porosity, spatter, undercut, incomplete fusion and grinding finish. Throat thickness needs a weld gauge.</t>
  </si>
  <si>
    <t xml:space="preserve">Hit-test distance gives the pixel scale for the close-up. Weld quality stays visual and throat thickness stays manual.</t>
  </si>
  <si>
    <t xml:space="preserve">MANUAL gauge reading typed into the app.</t>
  </si>
  <si>
    <t xml:space="preserve">Weld spec.</t>
  </si>
  <si>
    <t xml:space="preserve">Per spec</t>
  </si>
  <si>
    <t xml:space="preserve">ff808081818cac9e01818cb0c03c00ee</t>
  </si>
  <si>
    <t xml:space="preserve">Final Miscellaneous works and cleaning</t>
  </si>
  <si>
    <t xml:space="preserve">Handover QA request raised</t>
  </si>
  <si>
    <t xml:space="preserve">Doors and windows are as per the contract.</t>
  </si>
  <si>
    <t xml:space="preserve">FINAL WORK(Post Puttyl)</t>
  </si>
  <si>
    <t xml:space="preserve">Count, size and type of doors and windows per room against the contract.</t>
  </si>
  <si>
    <t xml:space="preserve">Select the gyro frames that show the finished doors and windows; Gemini checks them against the contract.</t>
  </si>
  <si>
    <t xml:space="preserve">Same detector as ID 125, with the room's door and window list from the contract as the prompt input; also counts the items per room.</t>
  </si>
  <si>
    <t xml:space="preserve">Same as ID 125.</t>
  </si>
  <si>
    <t xml:space="preserve">TAP.</t>
  </si>
  <si>
    <t xml:space="preserve">Contract door and window schedule.</t>
  </si>
  <si>
    <t xml:space="preserve">Must match the contract</t>
  </si>
  <si>
    <t xml:space="preserve">ff808081818cac9e01818cb0c03600b6</t>
  </si>
  <si>
    <t xml:space="preserve">Flooring</t>
  </si>
  <si>
    <t xml:space="preserve">Bull marking for flooring along with Colour and pattern for tiles having been approved by Customer and surface preparation for dry areas</t>
  </si>
  <si>
    <t xml:space="preserve">Joints alignment/Pattern/Spacer usage have been discussed and approved by client.</t>
  </si>
  <si>
    <t xml:space="preserve">Flooring(Postwall)</t>
  </si>
  <si>
    <t xml:space="preserve">Client approval recorded.</t>
  </si>
  <si>
    <t xml:space="preserve">Should not be QC</t>
  </si>
  <si>
    <t xml:space="preserve">Not a QC</t>
  </si>
  <si>
    <t xml:space="preserve">SE: should not be a QC; it is a client approval.</t>
  </si>
  <si>
    <t xml:space="preserve">Make this a client approval step in the app: the gyro frames of the bull-marked floor (or a layout render) go to the client, who approves with an OTP or a signature. The approval is the QC record.</t>
  </si>
  <si>
    <t xml:space="preserve">An approval record.</t>
  </si>
  <si>
    <t xml:space="preserve">Site-visit sign-off photo.</t>
  </si>
  <si>
    <t xml:space="preserve">Tile layout drawing.</t>
  </si>
  <si>
    <t xml:space="preserve">Approval present</t>
  </si>
  <si>
    <t xml:space="preserve">ff808081818cac9e01818cb0c034009f</t>
  </si>
  <si>
    <t xml:space="preserve">Bull marking for flooring of wet areas along with bore packing</t>
  </si>
  <si>
    <t xml:space="preserve">The mortar bed should adjust the required slope before laying the tile.</t>
  </si>
  <si>
    <t xml:space="preserve">Slope</t>
  </si>
  <si>
    <t xml:space="preserve">Floor slope toward the drain.</t>
  </si>
  <si>
    <t xml:space="preserve">IMU</t>
  </si>
  <si>
    <t xml:space="preserve">Lay the phone on the mortar bed and read the slope from the IMU.</t>
  </si>
  <si>
    <t xml:space="preserve">The SE lays the phone flat on the bed at two or three points (or on a straightedge). The accelerometer reads tilt to about 0.1°, enough for a 1 % slope (0.57°). The app records the direction toward the drain.</t>
  </si>
  <si>
    <t xml:space="preserve">The phone lies on the bed and the raw accelerometer is the instrument; ARCore is not running and not needed.</t>
  </si>
  <si>
    <t xml:space="preserve">ATTEST: a short video of water or a marble running to the drain.</t>
  </si>
  <si>
    <t xml:space="preserve">Required slope (for example 1:100).</t>
  </si>
  <si>
    <t xml:space="preserve">Slope at or above spec, toward the drain</t>
  </si>
  <si>
    <t xml:space="preserve">8a7483bc8adaa888018add7add9e0019</t>
  </si>
  <si>
    <t xml:space="preserve">Flooring in Dry areas</t>
  </si>
  <si>
    <t xml:space="preserve">Are the joints properly aligned?</t>
  </si>
  <si>
    <t xml:space="preserve">Grout-line straightness and offset at intersections.</t>
  </si>
  <si>
    <t xml:space="preserve">Can do without tools move to GYRO</t>
  </si>
  <si>
    <t xml:space="preserve">G-FLOOR</t>
  </si>
  <si>
    <t xml:space="preserve">Select the gyro frames that show the floor; Gemini checks the joint alignment. SE: can be done without tools, move to gyro.</t>
  </si>
  <si>
    <t xml:space="preserve">Warp the downward gyro band into a top-down floor image, detect the grout lines, fit the grid and report the largest offset at intersections and the line waviness (tile size is the ruler, about 1 mm resolution). Lippage does not show.</t>
  </si>
  <si>
    <t xml:space="preserve">Floor plane and poses give the exact top-down warp of the downward band, so grout-line offsets measure in mm with the tile as the ruler.</t>
  </si>
  <si>
    <t xml:space="preserve">TAP photo with a torch at a grazing angle for lippage; MANUAL straightedge.</t>
  </si>
  <si>
    <t xml:space="preserve">Tile size; spacer width.</t>
  </si>
  <si>
    <t xml:space="preserve">Offset at or under 1 mm</t>
  </si>
  <si>
    <t xml:space="preserve">ff808081818cac9e01818cb0c03400a4</t>
  </si>
  <si>
    <t xml:space="preserve">Skirting to be fixed as per specification and to the standard height</t>
  </si>
  <si>
    <t xml:space="preserve">Skirting height and uniformity; material.</t>
  </si>
  <si>
    <t xml:space="preserve">Gyro + Gemini: height</t>
  </si>
  <si>
    <t xml:space="preserve">Select the gyro frames that show the skirting; Gemini checks the height against the standard (note says 3 to 4 feet).</t>
  </si>
  <si>
    <t xml:space="preserve">Skirting top edge detected along each wall; height from the floor line with the adjacent tile as the ruler (about ±5 mm). Material and finish judged by the vision model.</t>
  </si>
  <si>
    <t xml:space="preserve">Floor plane gives the height reference; poses and the wall plane place the skirting edge.</t>
  </si>
  <si>
    <t xml:space="preserve">Skirting height and material from spec (for example 100 mm).</t>
  </si>
  <si>
    <t xml:space="preserve">± 5 mm</t>
  </si>
  <si>
    <t xml:space="preserve">fe28ef55-3e1d-4cd3-b8b8-cb4582d8a74e</t>
  </si>
  <si>
    <t xml:space="preserve">Flooring in wet areas</t>
  </si>
  <si>
    <t xml:space="preserve">Balcony/ Bathroom: Tiles is cut as per the grating - square / circle</t>
  </si>
  <si>
    <t xml:space="preserve">Cut shape and fit around gratings.</t>
  </si>
  <si>
    <t xml:space="preserve">Select the gyro frames that show the drain; Gemini checks the tile cut.</t>
  </si>
  <si>
    <t xml:space="preserve">The vision model reads the downward-band crop around each drain: shape matches the grating, cut edges clean, gap even.</t>
  </si>
  <si>
    <t xml:space="preserve">Floor plane and poses give an undistorted top-down crop around each drain for the vision model.</t>
  </si>
  <si>
    <t xml:space="preserve">TAP when the drain is small or far from the tripod.</t>
  </si>
  <si>
    <t xml:space="preserve">Grating type per bathroom and balcony.</t>
  </si>
  <si>
    <t xml:space="preserve">ff808081818cac9e01818cb0c034009d</t>
  </si>
  <si>
    <t xml:space="preserve">Same check as ID 199; SE: should not be a QC.</t>
  </si>
  <si>
    <t xml:space="preserve">Same approval flow as ID 199, for wet areas.</t>
  </si>
  <si>
    <t xml:space="preserve">Internal &amp; External Painting - Final coat, Plumbing fittings</t>
  </si>
  <si>
    <t xml:space="preserve">Final coat of painting, CP fittings installation complete</t>
  </si>
  <si>
    <t xml:space="preserve">Check for thickness of the granite is as per the requirement.</t>
  </si>
  <si>
    <t xml:space="preserve">Counter slab thickness at the exposed edge.</t>
  </si>
  <si>
    <t xml:space="preserve">One close-up of the counter edge with a coin or a printed scale sticker in frame; thickness in pixels converted by the reference.</t>
  </si>
  <si>
    <t xml:space="preserve">Hit-test distance to the counter edge gives the pixel scale. A coin in frame remains the safer reference at ±1 mm.</t>
  </si>
  <si>
    <t xml:space="preserve">MANUAL vernier or tape reading.</t>
  </si>
  <si>
    <t xml:space="preserve">Spec thickness (for example 18 or 20 mm).</t>
  </si>
  <si>
    <t xml:space="preserve">± 1 mm</t>
  </si>
  <si>
    <t xml:space="preserve">432fe711-b9bf-460f-90c7-2b2e5a5d4a72</t>
  </si>
  <si>
    <t xml:space="preserve">Check whether the provision is made for sink fixing</t>
  </si>
  <si>
    <t xml:space="preserve">Cut-out, brackets or clamps, and water and waste points at the sink location.</t>
  </si>
  <si>
    <t xml:space="preserve">Take frames from the gyro and ask Gemini.</t>
  </si>
  <si>
    <t xml:space="preserve">The vision model reads the kitchen counter crop from the gyro frames: cut-out present and sized, support brackets, tap and waste points in place.</t>
  </si>
  <si>
    <t xml:space="preserve">Visual presence check; the ordinary frames are enough.</t>
  </si>
  <si>
    <t xml:space="preserve">Sink type from spec.</t>
  </si>
  <si>
    <t xml:space="preserve">All items present</t>
  </si>
  <si>
    <t xml:space="preserve">5b7a47ea-ef58-46f5-9128-5fe0c812150c</t>
  </si>
  <si>
    <t xml:space="preserve">Railing Material adheres to the specifications and are as per the package</t>
  </si>
  <si>
    <t xml:space="preserve">Railing material type and profile against the package.</t>
  </si>
  <si>
    <t xml:space="preserve">The vision model compares the railing with the package spec and reference image (stainless, mild steel or glass; profile sizes). The steel grade (304 against 202) is not visible.</t>
  </si>
  <si>
    <t xml:space="preserve">Visual match against the spec; no measurement involved.</t>
  </si>
  <si>
    <t xml:space="preserve">MANUAL: invoice or material test certificate check.</t>
  </si>
  <si>
    <t xml:space="preserve">Package spec with reference images.</t>
  </si>
  <si>
    <t xml:space="preserve">Must match the package</t>
  </si>
  <si>
    <t xml:space="preserve">bccee11b-603c-4d3b-bb34-f0a748a17901</t>
  </si>
  <si>
    <t xml:space="preserve">Internal &amp; External Painting - Putty works</t>
  </si>
  <si>
    <t xml:space="preserve">Surface preparation works - Painting readiness Complete</t>
  </si>
  <si>
    <t xml:space="preserve">All corners are in line and finished properly.</t>
  </si>
  <si>
    <t xml:space="preserve">Corner lines straight and vertical; finish.</t>
  </si>
  <si>
    <t xml:space="preserve">Internal and external corner lines detected in the gravity-aligned view; straightness and lean reported. Finish (waviness, patching) judged by the vision model on the crop.</t>
  </si>
  <si>
    <t xml:space="preserve">Gravity reference for the corner lines and band linkage over their full height.</t>
  </si>
  <si>
    <t xml:space="preserve">MANUAL straightedge on flagged corners.</t>
  </si>
  <si>
    <t xml:space="preserve">Tolerance.</t>
  </si>
  <si>
    <t xml:space="preserve">About 3 mm over 2 m</t>
  </si>
  <si>
    <t xml:space="preserve">ff808081818cac9e01818cb0c03500aa</t>
  </si>
  <si>
    <t xml:space="preserve">Edges of window frames &amp; door frames are perfectly vertical.</t>
  </si>
  <si>
    <t xml:space="preserve">Frame edge lean against gravity.</t>
  </si>
  <si>
    <t xml:space="preserve">Same detector as ID 30, applied to the installed frame edges.</t>
  </si>
  <si>
    <t xml:space="preserve">BT-TOOL.</t>
  </si>
  <si>
    <t xml:space="preserve">About 3 mm over the frame height</t>
  </si>
  <si>
    <t xml:space="preserve">ff808081818cac9e01818cb0c03500a9</t>
  </si>
  <si>
    <t xml:space="preserve">Internal Plastering</t>
  </si>
  <si>
    <t xml:space="preserve">Electrical Point marking, Plumbing Point marking and Bull Marking for plastering</t>
  </si>
  <si>
    <t xml:space="preserve">Switch boxes in position and properly finished.</t>
  </si>
  <si>
    <t xml:space="preserve">Box count and positions against the electrical layout; height; finish flush with plaster.</t>
  </si>
  <si>
    <t xml:space="preserve">Find the boxes in the gyro video, sort them into upper, middle and lower bands, and check each is at a proper height.</t>
  </si>
  <si>
    <t xml:space="preserve">Detect the boxes on each rectified wall; compare count and positions with the electrical layout and heights with the standards table. The vision model checks flush fit and clean edges.</t>
  </si>
  <si>
    <t xml:space="preserve">Poses and the wall plane place each box on the wall; the floor plane gives its height; count and positions compare with the electrical layout.</t>
  </si>
  <si>
    <t xml:space="preserve">TAP for finish.</t>
  </si>
  <si>
    <t xml:space="preserve">Electrical layout drawing; standard heights table.</t>
  </si>
  <si>
    <t xml:space="preserve">Height ± 25 mm; position ± 50 mm</t>
  </si>
  <si>
    <t xml:space="preserve">ff808081818cac9e01818cb0c0300077</t>
  </si>
  <si>
    <t xml:space="preserve">Plastering Complete</t>
  </si>
  <si>
    <t xml:space="preserve">All spaces wall corners are at right angle</t>
  </si>
  <si>
    <t xml:space="preserve">Angle between adjacent walls.</t>
  </si>
  <si>
    <t xml:space="preserve">Gyro captures the corners; Gemini checks the wall corners for right angles.</t>
  </si>
  <si>
    <t xml:space="preserve">The floor plan recovered from the floor or ceiling boundary gives each corner angle to about ±1°. That catches a 3° error, not the 3 mm over 600 mm a square checks.</t>
  </si>
  <si>
    <t xml:space="preserve">Vertical-plane detection gives each wall's normal; the angle between adjacent normals is the corner angle (about ±1°). Needs textured walls; use the layout model on painted ones.</t>
  </si>
  <si>
    <t xml:space="preserve">MANUAL square, or a BT laser meter with the 3-4-5 method.</t>
  </si>
  <si>
    <t xml:space="preserve">90° ± 0.3° (about 3 mm over 600 mm)</t>
  </si>
  <si>
    <t xml:space="preserve">30b13c76-86a7-4249-8b85-5f3ee664ebae</t>
  </si>
  <si>
    <t xml:space="preserve">Gyro captures the openings; Gemini checks them for right angles.</t>
  </si>
  <si>
    <t xml:space="preserve">Same detector as ID 30, run after plastering.</t>
  </si>
  <si>
    <t xml:space="preserve">Plastering surface is level and free from undulations</t>
  </si>
  <si>
    <t xml:space="preserve">Undulations, patches and cracks; flatness.</t>
  </si>
  <si>
    <t xml:space="preserve">Cover the straight edge with a short video.</t>
  </si>
  <si>
    <t xml:space="preserve">The vision model reads the rectified wall views for gross undulations, patches and cracks. Millimetre flatness is not visible from the room centre.</t>
  </si>
  <si>
    <t xml:space="preserve">Depth-from-motion does not work on a tripod and cannot see 3 mm anyway. Only a hardware ToF sensor could catch bows of 10 mm or more, and most current phones lack one.</t>
  </si>
  <si>
    <t xml:space="preserve">MANUAL 2 m straightedge. A phone lidar scan (iPhone Pro) resolves about 5 mm. TAP with the torch at a grazing angle shows waviness.</t>
  </si>
  <si>
    <t xml:space="preserve">ff808081818cac9e01818cb0c031007f</t>
  </si>
  <si>
    <t xml:space="preserve">Sharp edges have been maintained at the junctions of all doors and windows.</t>
  </si>
  <si>
    <t xml:space="preserve">Edge chipping, rounding and unevenness at junctions.</t>
  </si>
  <si>
    <t xml:space="preserve">Select the gyro frames that show the junctions; Gemini checks the edges.</t>
  </si>
  <si>
    <t xml:space="preserve">The vision model reads zoomed crops of each junction and asks for a TAP photo when the crop is too small to judge.</t>
  </si>
  <si>
    <t xml:space="preserve">Visual judgement of edge condition.</t>
  </si>
  <si>
    <t xml:space="preserve">Rubric.</t>
  </si>
  <si>
    <t xml:space="preserve">ff808081818cac9e01818cb0c0310081</t>
  </si>
  <si>
    <t xml:space="preserve">The Level and plumb of the window grills are checked.</t>
  </si>
  <si>
    <t xml:space="preserve">Grill bar angles against gravity.</t>
  </si>
  <si>
    <t xml:space="preserve">In the gyro video find the frames that show the window from the side and compare with the edge; Gemini can do the comparison.</t>
  </si>
  <si>
    <t xml:space="preserve">Many parallel bars give a robust angle estimate on the gravity-aligned view; horizontal and vertical bars are both checked.</t>
  </si>
  <si>
    <t xml:space="preserve">Gravity reference for the grill bars.</t>
  </si>
  <si>
    <t xml:space="preserve">About 3 mm over the grill size</t>
  </si>
  <si>
    <t xml:space="preserve">47ba5d5d-0cda-42cc-8227-9b8de3ef9527</t>
  </si>
  <si>
    <t xml:space="preserve">Window and doors jambs are at right angle and and sharp edges are provided.</t>
  </si>
  <si>
    <t xml:space="preserve">Jamb angle; edge sharpness.</t>
  </si>
  <si>
    <t xml:space="preserve">Same detector as ID 30 for the angle, plus the edge rubric of ID 327.</t>
  </si>
  <si>
    <t xml:space="preserve">Tolerance; rubric.</t>
  </si>
  <si>
    <t xml:space="preserve">90° ± 0.5°; edges intact</t>
  </si>
  <si>
    <t xml:space="preserve">2a05f2c9-95c9-42ff-a163-78ff6f409d11</t>
  </si>
  <si>
    <t xml:space="preserve">Wall cladding</t>
  </si>
  <si>
    <t xml:space="preserve">Bull marking for Wall Dado</t>
  </si>
  <si>
    <t xml:space="preserve">Bathroom inner wall - electrical points  are as per standard height.</t>
  </si>
  <si>
    <t xml:space="preserve">Height of each box above FFL.</t>
  </si>
  <si>
    <t xml:space="preserve">Select the gyro frames that show the points; judge the height using the aluminium box as the reference and the band approach; Gemini checks.</t>
  </si>
  <si>
    <t xml:space="preserve">Detect the boxes on each bathroom wall; height above the floor line (or above the FFL mark if flooring is not done) against the standard heights table.</t>
  </si>
  <si>
    <t xml:space="preserve">Floor plane gives height above the slab; add the FFL offset from the drawing before the flooring is laid.</t>
  </si>
  <si>
    <t xml:space="preserve">Standard heights table; FFL offset before flooring.</t>
  </si>
  <si>
    <t xml:space="preserve">ff808081818cfb8701818d0047600155</t>
  </si>
  <si>
    <t xml:space="preserve">Bathroom inner wall - electrical points &amp; plumbing points are as per standard height.</t>
  </si>
  <si>
    <t xml:space="preserve">Height of each electrical box and pipe stub above FFL.</t>
  </si>
  <si>
    <t xml:space="preserve">Same detector as ID 432, with pipe stubs and elbows added to the detection set.</t>
  </si>
  <si>
    <t xml:space="preserve">Same as ID 432.</t>
  </si>
  <si>
    <t xml:space="preserve">Standard heights table; FFL offset.</t>
  </si>
  <si>
    <t xml:space="preserve">ff808081818cac9e01818cb0c033008f</t>
  </si>
  <si>
    <t xml:space="preserve">Bathroom internal wall-Plumbing points mixer,wash basin is as per standard height from FFL</t>
  </si>
  <si>
    <t xml:space="preserve">Mixer and basin point heights above FFL.</t>
  </si>
  <si>
    <t xml:space="preserve">Select the gyro frames that show the points (mixer, basin); judge the height using the aluminium box as the reference and the band approach; Gemini checks.</t>
  </si>
  <si>
    <t xml:space="preserve">Detect the pipe stubs, elbows and the mixer body; heights above the FFL mark compared with the standards table (mixer, basin, shower).</t>
  </si>
  <si>
    <t xml:space="preserve">ff808081818cfb8701818d0047600157</t>
  </si>
  <si>
    <t xml:space="preserve">Plumb check for the wall has been done and is found to be ok.</t>
  </si>
  <si>
    <t xml:space="preserve">Wall lean before dado tiling.</t>
  </si>
  <si>
    <t xml:space="preserve">Straight edge on the wall plus the phone IMU.</t>
  </si>
  <si>
    <t xml:space="preserve">Same detector as ID 84, run before dado tiling.</t>
  </si>
  <si>
    <t xml:space="preserve">Same as ID 84.</t>
  </si>
  <si>
    <t xml:space="preserve">BT-TOOL on flagged walls.</t>
  </si>
  <si>
    <t xml:space="preserve">ff808081818cac9e01818cb0c033008d</t>
  </si>
  <si>
    <t xml:space="preserve">Position of ventilator has been checked and is good to go.</t>
  </si>
  <si>
    <t xml:space="preserve">Ventilator position on the wall; sill height.</t>
  </si>
  <si>
    <t xml:space="preserve">Select the gyro frames that show the ventilator; judge the height from its closeness to the ceiling or beam if visible; Gemini checks, band approach.</t>
  </si>
  <si>
    <t xml:space="preserve">Same detector as ID 128, applied to the ventilator opening.</t>
  </si>
  <si>
    <t xml:space="preserve">Same as ID 128.</t>
  </si>
  <si>
    <t xml:space="preserve">ff808081818cac9e01818cb0c033008e</t>
  </si>
  <si>
    <t xml:space="preserve">Setting out been done.</t>
  </si>
  <si>
    <t xml:space="preserve">Bull marks, level lines and the starter row present.</t>
  </si>
  <si>
    <t xml:space="preserve">Straight edge across the bull marks with the phone on it.</t>
  </si>
  <si>
    <t xml:space="preserve">The vision model looks for level lines, bull marks and the starter row on each wall. Chalk lines are faint from the room centre, so expect a TAP request often.</t>
  </si>
  <si>
    <t xml:space="preserve">Visual presence of marks.</t>
  </si>
  <si>
    <t xml:space="preserve">TAP photo of each marked wall.</t>
  </si>
  <si>
    <t xml:space="preserve">Dado layout (height, starting line).</t>
  </si>
  <si>
    <t xml:space="preserve">Marks present</t>
  </si>
  <si>
    <t xml:space="preserve">ff808081818cac9e01818cb0c0330091</t>
  </si>
  <si>
    <t xml:space="preserve">During Fixing Wall dado</t>
  </si>
  <si>
    <t xml:space="preserve">Joint thickness is less than 3mm.</t>
  </si>
  <si>
    <t xml:space="preserve">Joint width between dado tiles.</t>
  </si>
  <si>
    <t xml:space="preserve">Spacers must be present in at least a few joints.</t>
  </si>
  <si>
    <t xml:space="preserve">One close-up per bathroom wall with a tile edge in frame; the tile size gives the scale and joints measure to about 0.3 mm. Spacer presence can be checked in the same photo.</t>
  </si>
  <si>
    <t xml:space="preserve">Hit-test distance gives the pixel scale on the close-up. The tile edge remains the finer ruler.</t>
  </si>
  <si>
    <t xml:space="preserve">G-GEO coarse check: course pitch minus tile size over several courses.</t>
  </si>
  <si>
    <t xml:space="preserve">Tile size; limit of 3 mm.</t>
  </si>
  <si>
    <t xml:space="preserve">Under 3 mm</t>
  </si>
  <si>
    <t xml:space="preserve">ff808081818cac9e01818cb0c0330093</t>
  </si>
  <si>
    <t xml:space="preserve">Water Proofing</t>
  </si>
  <si>
    <t xml:space="preserve">During Waterproofing of wet areas</t>
  </si>
  <si>
    <t xml:space="preserve">Waterproofing coat has been applied upto a height of 1feet for all the adjacent walls of wet areas</t>
  </si>
  <si>
    <t xml:space="preserve">Top edge of the coat above floor on every wet-area wall.</t>
  </si>
  <si>
    <t xml:space="preserve">Take frames from the gyro and ask Gemini (height of the coat line).</t>
  </si>
  <si>
    <t xml:space="preserve">The coat is a distinct colour. Detect its top edge on each wall, convert to height above the floor line, compare with 300 mm and flag gaps.</t>
  </si>
  <si>
    <t xml:space="preserve">Floor plane gives the height of the coat's top edge even where the floor-wall junction is hidden.</t>
  </si>
  <si>
    <t xml:space="preserve">Required height (300 mm).</t>
  </si>
  <si>
    <t xml:space="preserve">At least 300 mm</t>
  </si>
  <si>
    <t xml:space="preserve">57c1924d-726c-4c69-838d-a18b5602309c</t>
  </si>
  <si>
    <t xml:space="preserve">Code</t>
  </si>
  <si>
    <t xml:space="preserve">Method</t>
  </si>
  <si>
    <t xml:space="preserve">What the SE does differently</t>
  </si>
  <si>
    <t xml:space="preserve">Extra SE time per use (s)</t>
  </si>
  <si>
    <t xml:space="preserve">Accuracy you can expect</t>
  </si>
  <si>
    <t xml:space="preserve">Build effort (S/M/L)</t>
  </si>
  <si>
    <t xml:space="preserve">Checks using it</t>
  </si>
  <si>
    <t xml:space="preserve">Limits and notes</t>
  </si>
  <si>
    <t xml:space="preserve">Gyro frames to vision model</t>
  </si>
  <si>
    <t xml:space="preserve">Nothing new. The existing gyro capture is used.</t>
  </si>
  <si>
    <t xml:space="preserve">Qualitative. Reliable for presence, finish, gross defects and matching an item to a written spec or reference image.</t>
  </si>
  <si>
    <t xml:space="preserve">M</t>
  </si>
  <si>
    <t xml:space="preserve">Does not measure. Give it the drawing or spec text in the prompt and ask for pass, flag or needs-a-photo.</t>
  </si>
  <si>
    <t xml:space="preserve">Gyro to metric geometry</t>
  </si>
  <si>
    <t xml:space="preserve">Nothing new, provided the tripod height is fixed or the floor-to-ceiling height from the drawing is available.</t>
  </si>
  <si>
    <t xml:space="preserve">About ±20–30 mm at 3 m for heights, sizes and positions on a wall; about ±5 mm when a tile or block in the scene is used as the ruler.</t>
  </si>
  <si>
    <t xml:space="preserve">L</t>
  </si>
  <si>
    <t xml:space="preserve">Needs gravity-aligned frames, a room-layout model and a known camera height. Lengths across the view (widths) are less accurate than heights.</t>
  </si>
  <si>
    <t xml:space="preserve">Gyro plumb, level and straightness screening</t>
  </si>
  <si>
    <t xml:space="preserve">Nothing new.</t>
  </si>
  <si>
    <t xml:space="preserve">About ±0.2°, which is ±7 mm over 2 m. A screening tool for gross errors, not a plumb-bob replacement.</t>
  </si>
  <si>
    <t xml:space="preserve">Only in-plane deviation is visible. A wall bowing toward or away from the camera does not show as a slanted line.</t>
  </si>
  <si>
    <t xml:space="preserve">Gyro to top-down floor image</t>
  </si>
  <si>
    <t xml:space="preserve">Optionally one extra band at about −70° so the floor near the tripod is covered.</t>
  </si>
  <si>
    <t xml:space="preserve">About 1 mm for in-plane alignment when the tile size is used as the ruler.</t>
  </si>
  <si>
    <t xml:space="preserve">Lippage (height steps between tiles) does not show from above.</t>
  </si>
  <si>
    <t xml:space="preserve">Requested close-up photo</t>
  </si>
  <si>
    <t xml:space="preserve">Takes one photo when the app asks, with a tile, block, coin or scale sticker in frame.</t>
  </si>
  <si>
    <t xml:space="preserve">About 0.3–0.5 mm with a reference object in frame.</t>
  </si>
  <si>
    <t xml:space="preserve">S</t>
  </si>
  <si>
    <t xml:space="preserve">Keep requests rare: only checks that always need one, or when the vision model reports it is unsure.</t>
  </si>
  <si>
    <t xml:space="preserve">Phone as a level</t>
  </si>
  <si>
    <t xml:space="preserve">Lays the phone flat on the surface for two seconds, at two or three points.</t>
  </si>
  <si>
    <t xml:space="preserve">About ±0.1° (1 mm per metre) after a one-time calibration.</t>
  </si>
  <si>
    <t xml:space="preserve">Needs a flat phone back or a flat case. Good for slopes of 1 % and above.</t>
  </si>
  <si>
    <t xml:space="preserve">BT-TOOL</t>
  </si>
  <si>
    <t xml:space="preserve">Bluetooth laser meter or digital level</t>
  </si>
  <si>
    <t xml:space="preserve">Takes the reading with the tool; the app receives it over Bluetooth.</t>
  </si>
  <si>
    <t xml:space="preserve">Millimetre grade.</t>
  </si>
  <si>
    <t xml:space="preserve">Hardware cost per SE. Best used only on items the gyro screening has flagged.</t>
  </si>
  <si>
    <t xml:space="preserve">Exterior capture</t>
  </si>
  <si>
    <t xml:space="preserve">One walking video along the compound wall, or gyro captures at two or three points in the plot. Once per site.</t>
  </si>
  <si>
    <t xml:space="preserve">Same as G-GEO and G-VIS, applied outdoors.</t>
  </si>
  <si>
    <t xml:space="preserve">New action in the app. Strong sun and shadows need a prompt that tolerates them.</t>
  </si>
  <si>
    <t xml:space="preserve">One-tap confirmation with evidence</t>
  </si>
  <si>
    <t xml:space="preserve">Taps yes and attaches a photo, a short video or a voice note; or the client approves in the app.</t>
  </si>
  <si>
    <t xml:space="preserve">A process record, not a measurement.</t>
  </si>
  <si>
    <t xml:space="preserve">Use for process checks and approvals where no image after the fact can prove the point.</t>
  </si>
  <si>
    <t xml:space="preserve">Stays with the SE and a physical tool</t>
  </si>
  <si>
    <t xml:space="preserve">Takes the reading as today and types or dictates it into the app.</t>
  </si>
  <si>
    <t xml:space="preserve">Tool grade.</t>
  </si>
  <si>
    <t xml:space="preserve">The app still gets a structured record and a photo, so the check is not lost.</t>
  </si>
  <si>
    <t xml:space="preserve">QC automation dashboard</t>
  </si>
  <si>
    <t xml:space="preserve">Every figure is a formula over the QC Tracker tab. Edit there, not here.</t>
  </si>
  <si>
    <t xml:space="preserve">Key figures</t>
  </si>
  <si>
    <t xml:space="preserve">Value</t>
  </si>
  <si>
    <t xml:space="preserve">Checks</t>
  </si>
  <si>
    <t xml:space="preserve">Share</t>
  </si>
  <si>
    <t xml:space="preserve">Total checks</t>
  </si>
  <si>
    <t xml:space="preserve">Distinct detectors to build (rows without a 'same detector as' pointer)</t>
  </si>
  <si>
    <t xml:space="preserve">Exploring</t>
  </si>
  <si>
    <t xml:space="preserve">Checks needing no new site action (G- methods)</t>
  </si>
  <si>
    <t xml:space="preserve">Prototype</t>
  </si>
  <si>
    <t xml:space="preserve">Share needing no new site action</t>
  </si>
  <si>
    <t xml:space="preserve">Validating</t>
  </si>
  <si>
    <t xml:space="preserve">Critical checks</t>
  </si>
  <si>
    <t xml:space="preserve">Live</t>
  </si>
  <si>
    <t xml:space="preserve">Critical checks with Full automation</t>
  </si>
  <si>
    <t xml:space="preserve">Parked</t>
  </si>
  <si>
    <t xml:space="preserve">No-go checks</t>
  </si>
  <si>
    <t xml:space="preserve">Total</t>
  </si>
  <si>
    <t xml:space="preserve">No-go checks covered (Full or Evidence)</t>
  </si>
  <si>
    <t xml:space="preserve">Added SE time if every check runs its primary method (s, upper bound)</t>
  </si>
  <si>
    <t xml:space="preserve">Of which critical</t>
  </si>
  <si>
    <t xml:space="preserve">Of which no-go</t>
  </si>
  <si>
    <t xml:space="preserve">Same, in minutes</t>
  </si>
  <si>
    <t xml:space="preserve">Checks Live</t>
  </si>
  <si>
    <t xml:space="preserve">Share Live</t>
  </si>
  <si>
    <t xml:space="preserve">Added SE time (s)</t>
  </si>
  <si>
    <t xml:space="preserve">Critical</t>
  </si>
  <si>
    <t xml:space="preserve">Full automation</t>
  </si>
  <si>
    <t xml:space="preserve">Feasibility with Gyro (SE)</t>
  </si>
  <si>
    <t xml:space="preserve">Not rated</t>
  </si>
  <si>
    <t xml:space="preserve">Date</t>
  </si>
  <si>
    <t xml:space="preserve">QC ID (sno)</t>
  </si>
  <si>
    <t xml:space="preserve">What was tried</t>
  </si>
  <si>
    <t xml:space="preserve">Sample (n)</t>
  </si>
  <si>
    <t xml:space="preserve">Result</t>
  </si>
  <si>
    <t xml:space="preserve">Decision</t>
  </si>
  <si>
    <t xml:space="preserve">Next step</t>
  </si>
  <si>
    <t xml:space="preserve">Waterproofing line height read from 12 bathroom captures, tripod fixed at 1.50 m. Compared with tape readings.</t>
  </si>
  <si>
    <t xml:space="preserve">Within 20 mm of the tape on 11 of 12; the miss was a dark wall where the coat edge was not found.</t>
  </si>
  <si>
    <t xml:space="preserve">Iterate</t>
  </si>
  <si>
    <t xml:space="preserve">Turn the torch on for wet-area captures and rerun.</t>
  </si>
  <si>
    <t xml:space="preserve">Example row, overwrite</t>
  </si>
  <si>
    <t xml:space="preserve">sno</t>
  </si>
  <si>
    <t xml:space="preserve">stage</t>
  </si>
  <si>
    <t xml:space="preserve">CURRENT LIVE</t>
  </si>
  <si>
    <t xml:space="preserve">task</t>
  </si>
  <si>
    <t xml:space="preserve">qc</t>
  </si>
  <si>
    <t xml:space="preserve">QC_TYPE_MEASUREMENT_VISUAL_TOOl</t>
  </si>
  <si>
    <t xml:space="preserve">Phase</t>
  </si>
  <si>
    <t xml:space="preserve">Removal Status</t>
  </si>
  <si>
    <t xml:space="preserve">GYRO+AI</t>
  </si>
  <si>
    <t xml:space="preserve">2D PHONE+AI</t>
  </si>
  <si>
    <t xml:space="preserve">AI_NOT_ENABLED</t>
  </si>
  <si>
    <t xml:space="preserve">Phase(More Divided)</t>
  </si>
  <si>
    <t xml:space="preserve">qc_category</t>
  </si>
  <si>
    <t xml:space="preserve">is_no_go</t>
  </si>
  <si>
    <t xml:space="preserve">measurement_type</t>
  </si>
  <si>
    <t xml:space="preserve">measurement_config</t>
  </si>
  <si>
    <t xml:space="preserve">hierarchy</t>
  </si>
  <si>
    <t xml:space="preserve">capture_type</t>
  </si>
  <si>
    <t xml:space="preserve">config_updated_on</t>
  </si>
  <si>
    <t xml:space="preserve">qc_type</t>
  </si>
  <si>
    <t xml:space="preserve">task_type</t>
  </si>
  <si>
    <t xml:space="preserve">in_2_0</t>
  </si>
  <si>
    <t xml:space="preserve">2_0_measurement_type</t>
  </si>
  <si>
    <t xml:space="preserve">2_0_measurement_config</t>
  </si>
  <si>
    <t xml:space="preserve">2_0_hierarchy</t>
  </si>
  <si>
    <t xml:space="preserve">stage_id</t>
  </si>
  <si>
    <t xml:space="preserve">task_id</t>
  </si>
  <si>
    <t xml:space="preserve">stage_type</t>
  </si>
  <si>
    <t xml:space="preserve">2.0 Current</t>
  </si>
  <si>
    <t xml:space="preserve">CURRENT_LIVE</t>
  </si>
  <si>
    <t xml:space="preserve">POST_WALL</t>
  </si>
  <si>
    <t xml:space="preserve">YES</t>
  </si>
  <si>
    <t xml:space="preserve">FALSE</t>
  </si>
  <si>
    <t xml:space="preserve">NON_MEASUREMENT</t>
  </si>
  <si>
    <t xml:space="preserve">Floor</t>
  </si>
  <si>
    <t xml:space="preserve">2026-07-10</t>
  </si>
  <si>
    <t xml:space="preserve">Floor &gt; Space</t>
  </si>
  <si>
    <t xml:space="preserve">4028f9ae818644790181864b9cce0026</t>
  </si>
  <si>
    <t xml:space="preserve">ff808081818ae47e01818af17c0900d9</t>
  </si>
  <si>
    <t xml:space="preserve">FLOORWISE_STAGE</t>
  </si>
  <si>
    <t xml:space="preserve">Floor &gt; Space &gt; Wall</t>
  </si>
  <si>
    <t xml:space="preserve">OPTIONAL</t>
  </si>
  <si>
    <t xml:space="preserve">ff808081818ae47e01818af17c0900d4</t>
  </si>
  <si>
    <t xml:space="preserve">ff808081818ae47e01818af17c0900d3</t>
  </si>
  <si>
    <t xml:space="preserve">TRUE</t>
  </si>
  <si>
    <t xml:space="preserve">ff808081818ae47e01818af17c0900d7</t>
  </si>
  <si>
    <t xml:space="preserve">4028f9ae818644790181864b9cce0025</t>
  </si>
  <si>
    <t xml:space="preserve">ff808081818ae47e01818af17c0900d1</t>
  </si>
  <si>
    <t xml:space="preserve">ff808081818ae47e01818af17c0900d2</t>
  </si>
  <si>
    <t xml:space="preserve">NO</t>
  </si>
  <si>
    <t xml:space="preserve">bd245885-5596-4a6e-a2d2-7734ed24c9bc</t>
  </si>
  <si>
    <t xml:space="preserve">463766cd-8524-40fb-9192-7cccf191611c</t>
  </si>
  <si>
    <t xml:space="preserve">INITIAL_ONE_TIME_STAGE</t>
  </si>
  <si>
    <t xml:space="preserve">858b6ec2-e991-4292-854d-66c186b5e4bc</t>
  </si>
  <si>
    <t xml:space="preserve">ec5a7da3-3b7c-4e9b-83ed-42e66ad06cfc</t>
  </si>
  <si>
    <t xml:space="preserve">2026-07-17</t>
  </si>
  <si>
    <t xml:space="preserve">82c40283-df9e-40cf-a9f9-c0c3eccd9ac1</t>
  </si>
  <si>
    <t xml:space="preserve">5c8d95b2-fd2d-4a7f-8313-2f491ce66720</t>
  </si>
  <si>
    <t xml:space="preserve">4028f9ae818644790181864b9cd40030</t>
  </si>
  <si>
    <t xml:space="preserve">ff808081818ae47e01818af17c0f00fe</t>
  </si>
  <si>
    <t xml:space="preserve">4028f9ae818644790181864b9cd50032</t>
  </si>
  <si>
    <t xml:space="preserve">ff808081818ae47e01818af17c0f0102</t>
  </si>
  <si>
    <t xml:space="preserve">4028f9ae818644790181864b9cd1002b</t>
  </si>
  <si>
    <t xml:space="preserve">ff808081818ae47e01818af17c0e00ec</t>
  </si>
  <si>
    <t xml:space="preserve">ff808081818ae47e01818af17c0e00ea</t>
  </si>
  <si>
    <t xml:space="preserve">ff808081818ae47e01818af17c0e00ed</t>
  </si>
  <si>
    <t xml:space="preserve">ff808081818ae47e01818af17c0e00eb</t>
  </si>
  <si>
    <t xml:space="preserve">4028f9ae818644790181864b9cd40031</t>
  </si>
  <si>
    <t xml:space="preserve">ff808081818ae47e01818af17c0f00ff</t>
  </si>
  <si>
    <t xml:space="preserve">4028f9ae818644790181864b9cd2002d</t>
  </si>
  <si>
    <t xml:space="preserve">ff808081818ae47e01818af17c0f00f1</t>
  </si>
  <si>
    <t xml:space="preserve">4028f9ae818644790181864b9cd00028</t>
  </si>
  <si>
    <t xml:space="preserve">ff808081818ae47e01818af17c0c00df</t>
  </si>
  <si>
    <t xml:space="preserve">ff808081818ae47e01818af17c0d00e2</t>
  </si>
  <si>
    <t xml:space="preserve">4028f9ae818644790181864b9cd1002a</t>
  </si>
  <si>
    <t xml:space="preserve">ff808081818ae47e01818af17c0d00e7</t>
  </si>
  <si>
    <t xml:space="preserve">DEFAULT</t>
  </si>
  <si>
    <t xml:space="preserve">tape</t>
  </si>
  <si>
    <t xml:space="preserve">ff808081818ae47e01818af17c0d00e8</t>
  </si>
  <si>
    <t xml:space="preserve">4028f9ae818644790181864b9cd00029</t>
  </si>
  <si>
    <t xml:space="preserve">ff808081818ae47e01818af17c0d00e4</t>
  </si>
</sst>
</file>

<file path=xl/styles.xml><?xml version="1.0" encoding="utf-8"?>
<styleSheet xmlns="http://schemas.openxmlformats.org/spreadsheetml/2006/main">
  <numFmts count="5">
    <numFmt numFmtId="164" formatCode="General"/>
    <numFmt numFmtId="165" formatCode="0"/>
    <numFmt numFmtId="166" formatCode="0%"/>
    <numFmt numFmtId="167" formatCode="yyyy\-mm\-dd"/>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sz val="10"/>
      <color rgb="FF0000FF"/>
      <name val="Arial"/>
      <family val="0"/>
      <charset val="1"/>
    </font>
    <font>
      <sz val="10"/>
      <color rgb="FF008000"/>
      <name val="Arial"/>
      <family val="0"/>
      <charset val="1"/>
    </font>
    <font>
      <sz val="10"/>
      <color rgb="FF595959"/>
      <name val="Arial"/>
      <family val="0"/>
      <charset val="1"/>
    </font>
    <font>
      <b val="true"/>
      <sz val="10"/>
      <color rgb="FFFFFFFF"/>
      <name val="Arial"/>
      <family val="0"/>
      <charset val="1"/>
    </font>
    <font>
      <sz val="10"/>
      <name val="Arial"/>
      <family val="2"/>
    </font>
  </fonts>
  <fills count="7">
    <fill>
      <patternFill patternType="none"/>
    </fill>
    <fill>
      <patternFill patternType="gray125"/>
    </fill>
    <fill>
      <patternFill patternType="solid">
        <fgColor rgb="FFFFF2CC"/>
        <bgColor rgb="FFEDEDED"/>
      </patternFill>
    </fill>
    <fill>
      <patternFill patternType="solid">
        <fgColor rgb="FFD9E1F2"/>
        <bgColor rgb="FFDDEBF7"/>
      </patternFill>
    </fill>
    <fill>
      <patternFill patternType="solid">
        <fgColor rgb="FFE2EFDA"/>
        <bgColor rgb="FFEDEDED"/>
      </patternFill>
    </fill>
    <fill>
      <patternFill patternType="solid">
        <fgColor rgb="FFEDEDED"/>
        <bgColor rgb="FFE2EFDA"/>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general" vertical="top" textRotation="0" wrapText="true" indent="0" shrinkToFit="false"/>
      <protection locked="true" hidden="false"/>
    </xf>
    <xf numFmtId="165" fontId="5" fillId="2" borderId="1" xfId="0" applyFont="true" applyBorder="true" applyAlignment="true" applyProtection="false">
      <alignment horizontal="center" vertical="top" textRotation="0" wrapText="true" indent="0" shrinkToFit="false"/>
      <protection locked="true" hidden="false"/>
    </xf>
    <xf numFmtId="167" fontId="5"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6" fontId="9" fillId="0" borderId="1" xfId="0" applyFont="true" applyBorder="true" applyAlignment="true" applyProtection="false">
      <alignment horizontal="right" vertical="top" textRotation="0" wrapText="false" indent="0" shrinkToFit="false"/>
      <protection locked="true" hidden="false"/>
    </xf>
    <xf numFmtId="168" fontId="9" fillId="0" borderId="1" xfId="0" applyFont="true" applyBorder="true" applyAlignment="true" applyProtection="false">
      <alignment horizontal="right"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D9D9D9"/>
          <bgColor rgb="FF000000"/>
        </patternFill>
      </fill>
    </dxf>
    <dxf>
      <fill>
        <patternFill patternType="solid">
          <fgColor rgb="FF008000"/>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bgColor rgb="FFDDEBF7"/>
        </patternFill>
      </fill>
    </dxf>
    <dxf>
      <fill>
        <patternFill>
          <bgColor rgb="FFD9D9D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1F2"/>
      <rgbColor rgb="FFEDEDED"/>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QCTracker" displayName="QCTracker" ref="A2:AL57" headerRowCount="1" totalsRowCount="0" totalsRowShown="0">
  <autoFilter ref="A2:AL57"/>
  <tableColumns count="38">
    <tableColumn id="1" name="ID (sno)"/>
    <tableColumn id="2" name="Stage"/>
    <tableColumn id="3" name="Task"/>
    <tableColumn id="4" name="QC check"/>
    <tableColumn id="5" name="Sub-phase"/>
    <tableColumn id="6" name="Current SE method"/>
    <tableColumn id="7" name="Priority"/>
    <tableColumn id="8" name="No-go"/>
    <tableColumn id="9" name="Level (2.0)"/>
    <tableColumn id="10" name="Stage type"/>
    <tableColumn id="11" name="In 2.0"/>
    <tableColumn id="12" name="Live today"/>
    <tableColumn id="13" name="Check family"/>
    <tableColumn id="14" name="What to measure or judge"/>
    <tableColumn id="15" name="SE Comments"/>
    <tableColumn id="16" name="Accuracy Requirements SE"/>
    <tableColumn id="17" name="Primary method"/>
    <tableColumn id="18" name="Automation level"/>
    <tableColumn id="19" name="Confidence"/>
    <tableColumn id="20" name="Feasibility with Gyro"/>
    <tableColumn id="21" name="Approach group"/>
    <tableColumn id="22" name="Approach description"/>
    <tableColumn id="23" name="How it would work"/>
    <tableColumn id="24" name="ARCore relevance"/>
    <tableColumn id="25" name="How ARCore helps"/>
    <tableColumn id="26" name="Fallback or upgrade"/>
    <tableColumn id="27" name="Inputs the prompt needs"/>
    <tableColumn id="28" name="Target tolerance (typical; confirm against your spec)"/>
    <tableColumn id="29" name="Same detector as (ID)"/>
    <tableColumn id="30" name="Extra SE time (s)"/>
    <tableColumn id="31" name="Status"/>
    <tableColumn id="32" name="Owner"/>
    <tableColumn id="33" name="Target sprint"/>
    <tableColumn id="34" name="Validation accuracy"/>
    <tableColumn id="35" name="Validation sample (n)"/>
    <tableColumn id="36" name="Last updated"/>
    <tableColumn id="37" name="Notes"/>
    <tableColumn id="38" name="qc_i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00"/>
  </cols>
  <sheetData>
    <row r="1" customFormat="false" ht="16.5" hidden="false" customHeight="true" outlineLevel="0" collapsed="false">
      <c r="B1" s="1" t="s">
        <v>0</v>
      </c>
      <c r="C1" s="1"/>
    </row>
    <row r="2" customFormat="false" ht="16.5" hidden="false" customHeight="true" outlineLevel="0" collapsed="false">
      <c r="B2" s="2" t="s">
        <v>1</v>
      </c>
      <c r="C2" s="2"/>
    </row>
    <row r="4" customFormat="false" ht="16.5" hidden="false" customHeight="true" outlineLevel="0" collapsed="false">
      <c r="B4" s="3" t="s">
        <v>2</v>
      </c>
      <c r="C4" s="3"/>
    </row>
    <row r="5" customFormat="false" ht="54.75" hidden="false" customHeight="true" outlineLevel="0" collapsed="false">
      <c r="B5" s="4" t="s">
        <v>3</v>
      </c>
      <c r="C5" s="5" t="s">
        <v>4</v>
      </c>
    </row>
    <row r="6" customFormat="false" ht="29.25" hidden="false" customHeight="true" outlineLevel="0" collapsed="false">
      <c r="B6" s="4" t="s">
        <v>5</v>
      </c>
      <c r="C6" s="5" t="s">
        <v>6</v>
      </c>
    </row>
    <row r="7" customFormat="false" ht="16.5" hidden="false" customHeight="true" outlineLevel="0" collapsed="false">
      <c r="B7" s="4" t="s">
        <v>7</v>
      </c>
      <c r="C7" s="5" t="s">
        <v>8</v>
      </c>
    </row>
    <row r="8" customFormat="false" ht="16.5" hidden="false" customHeight="true" outlineLevel="0" collapsed="false">
      <c r="B8" s="4" t="s">
        <v>9</v>
      </c>
      <c r="C8" s="5" t="s">
        <v>10</v>
      </c>
    </row>
    <row r="9" customFormat="false" ht="54.75" hidden="false" customHeight="true" outlineLevel="0" collapsed="false">
      <c r="B9" s="4" t="s">
        <v>11</v>
      </c>
      <c r="C9" s="5" t="s">
        <v>12</v>
      </c>
    </row>
    <row r="11" customFormat="false" ht="16.5" hidden="false" customHeight="true" outlineLevel="0" collapsed="false">
      <c r="B11" s="3" t="s">
        <v>13</v>
      </c>
      <c r="C11" s="3"/>
    </row>
    <row r="12" customFormat="false" ht="15" hidden="false" customHeight="false" outlineLevel="0" collapsed="false">
      <c r="B12" s="6" t="s">
        <v>14</v>
      </c>
      <c r="C12" s="7" t="s">
        <v>15</v>
      </c>
    </row>
    <row r="13" customFormat="false" ht="15" hidden="false" customHeight="false" outlineLevel="0" collapsed="false">
      <c r="B13" s="8" t="s">
        <v>16</v>
      </c>
      <c r="C13" s="7" t="s">
        <v>17</v>
      </c>
    </row>
    <row r="14" customFormat="false" ht="15" hidden="false" customHeight="false" outlineLevel="0" collapsed="false">
      <c r="B14" s="9" t="s">
        <v>18</v>
      </c>
      <c r="C14" s="7" t="s">
        <v>19</v>
      </c>
    </row>
    <row r="15" customFormat="false" ht="15" hidden="false" customHeight="false" outlineLevel="0" collapsed="false">
      <c r="B15" s="10" t="s">
        <v>20</v>
      </c>
      <c r="C15" s="7" t="s">
        <v>21</v>
      </c>
    </row>
    <row r="17" customFormat="false" ht="16.5" hidden="false" customHeight="true" outlineLevel="0" collapsed="false">
      <c r="B17" s="3" t="s">
        <v>22</v>
      </c>
      <c r="C17" s="3"/>
    </row>
    <row r="18" customFormat="false" ht="16.5" hidden="false" customHeight="true" outlineLevel="0" collapsed="false">
      <c r="B18" s="4" t="s">
        <v>23</v>
      </c>
      <c r="C18" s="5" t="s">
        <v>24</v>
      </c>
    </row>
    <row r="19" customFormat="false" ht="16.5" hidden="false" customHeight="true" outlineLevel="0" collapsed="false">
      <c r="B19" s="4" t="s">
        <v>25</v>
      </c>
      <c r="C19" s="5" t="s">
        <v>26</v>
      </c>
    </row>
    <row r="20" customFormat="false" ht="16.5" hidden="false" customHeight="true" outlineLevel="0" collapsed="false">
      <c r="B20" s="4" t="s">
        <v>27</v>
      </c>
      <c r="C20" s="5" t="s">
        <v>28</v>
      </c>
    </row>
    <row r="21" customFormat="false" ht="16.5" hidden="false" customHeight="true" outlineLevel="0" collapsed="false">
      <c r="B21" s="4" t="s">
        <v>29</v>
      </c>
      <c r="C21" s="5" t="s">
        <v>30</v>
      </c>
    </row>
    <row r="22" customFormat="false" ht="29.25" hidden="false" customHeight="true" outlineLevel="0" collapsed="false">
      <c r="B22" s="4" t="s">
        <v>31</v>
      </c>
      <c r="C22" s="5" t="s">
        <v>32</v>
      </c>
    </row>
    <row r="23" customFormat="false" ht="16.5" hidden="false" customHeight="true" outlineLevel="0" collapsed="false">
      <c r="B23" s="4" t="s">
        <v>33</v>
      </c>
      <c r="C23" s="5" t="s">
        <v>34</v>
      </c>
    </row>
    <row r="24" customFormat="false" ht="29.25" hidden="false" customHeight="true" outlineLevel="0" collapsed="false">
      <c r="B24" s="4" t="s">
        <v>35</v>
      </c>
      <c r="C24" s="5" t="s">
        <v>36</v>
      </c>
    </row>
    <row r="25" customFormat="false" ht="54.75" hidden="false" customHeight="true" outlineLevel="0" collapsed="false">
      <c r="B25" s="4" t="s">
        <v>37</v>
      </c>
      <c r="C25" s="5" t="s">
        <v>38</v>
      </c>
    </row>
    <row r="26" customFormat="false" ht="29.25" hidden="false" customHeight="true" outlineLevel="0" collapsed="false">
      <c r="B26" s="4" t="s">
        <v>39</v>
      </c>
      <c r="C26" s="5" t="s">
        <v>40</v>
      </c>
    </row>
    <row r="27" customFormat="false" ht="15" hidden="false" customHeight="false" outlineLevel="0" collapsed="false">
      <c r="B27" s="11" t="s">
        <v>41</v>
      </c>
      <c r="C27" s="9" t="str">
        <f aca="false">Dashboard!B6&amp;" detectors cover "&amp;Dashboard!B5&amp;" checks."</f>
        <v>42 detectors cover 55 checks.</v>
      </c>
    </row>
    <row r="29" customFormat="false" ht="16.5" hidden="false" customHeight="true" outlineLevel="0" collapsed="false">
      <c r="B29" s="3" t="s">
        <v>42</v>
      </c>
      <c r="C29" s="3"/>
    </row>
    <row r="30" customFormat="false" ht="29.25" hidden="false" customHeight="true" outlineLevel="0" collapsed="false">
      <c r="B30" s="2" t="s">
        <v>43</v>
      </c>
      <c r="C30" s="2"/>
    </row>
    <row r="31" customFormat="false" ht="29.25" hidden="false" customHeight="true" outlineLevel="0" collapsed="false">
      <c r="B31" s="2" t="s">
        <v>44</v>
      </c>
      <c r="C31" s="2"/>
    </row>
    <row r="32" customFormat="false" ht="29.25" hidden="false" customHeight="true" outlineLevel="0" collapsed="false">
      <c r="B32" s="2" t="s">
        <v>45</v>
      </c>
      <c r="C32" s="2"/>
    </row>
    <row r="33" customFormat="false" ht="29.25" hidden="false" customHeight="true" outlineLevel="0" collapsed="false">
      <c r="B33" s="2" t="s">
        <v>46</v>
      </c>
      <c r="C33" s="2"/>
    </row>
    <row r="34" customFormat="false" ht="29.25" hidden="false" customHeight="true" outlineLevel="0" collapsed="false">
      <c r="B34" s="2" t="s">
        <v>47</v>
      </c>
      <c r="C34" s="2"/>
    </row>
    <row r="35" customFormat="false" ht="29.25" hidden="false" customHeight="true" outlineLevel="0" collapsed="false">
      <c r="B35" s="2" t="s">
        <v>48</v>
      </c>
      <c r="C35" s="2"/>
    </row>
    <row r="37" customFormat="false" ht="16.5" hidden="false" customHeight="true" outlineLevel="0" collapsed="false">
      <c r="B37" s="3" t="s">
        <v>49</v>
      </c>
      <c r="C37" s="3"/>
    </row>
    <row r="38" customFormat="false" ht="29.25" hidden="false" customHeight="true" outlineLevel="0" collapsed="false">
      <c r="B38" s="2" t="s">
        <v>50</v>
      </c>
      <c r="C38" s="2"/>
    </row>
    <row r="39" customFormat="false" ht="29.25" hidden="false" customHeight="true" outlineLevel="0" collapsed="false">
      <c r="B39" s="2" t="s">
        <v>51</v>
      </c>
      <c r="C39" s="2"/>
    </row>
    <row r="40" customFormat="false" ht="29.25" hidden="false" customHeight="true" outlineLevel="0" collapsed="false">
      <c r="B40" s="2" t="s">
        <v>52</v>
      </c>
      <c r="C40" s="2"/>
    </row>
    <row r="41" customFormat="false" ht="29.25" hidden="false" customHeight="true" outlineLevel="0" collapsed="false">
      <c r="B41" s="2" t="s">
        <v>53</v>
      </c>
      <c r="C41" s="2"/>
    </row>
    <row r="43" customFormat="false" ht="16.5" hidden="false" customHeight="true" outlineLevel="0" collapsed="false">
      <c r="B43" s="3" t="s">
        <v>54</v>
      </c>
      <c r="C43" s="3"/>
    </row>
    <row r="44" customFormat="false" ht="42" hidden="false" customHeight="true" outlineLevel="0" collapsed="false">
      <c r="B44" s="2" t="s">
        <v>55</v>
      </c>
      <c r="C44" s="2"/>
    </row>
    <row r="46" customFormat="false" ht="16.5" hidden="false" customHeight="true" outlineLevel="0" collapsed="false">
      <c r="B46" s="3" t="s">
        <v>56</v>
      </c>
      <c r="C46" s="3"/>
    </row>
    <row r="47" customFormat="false" ht="29.25" hidden="false" customHeight="true" outlineLevel="0" collapsed="false">
      <c r="B47" s="4" t="s">
        <v>57</v>
      </c>
      <c r="C47" s="5" t="s">
        <v>58</v>
      </c>
    </row>
    <row r="48" customFormat="false" ht="29.25" hidden="false" customHeight="true" outlineLevel="0" collapsed="false">
      <c r="B48" s="4" t="s">
        <v>59</v>
      </c>
      <c r="C48" s="5" t="s">
        <v>60</v>
      </c>
    </row>
    <row r="49" customFormat="false" ht="29.25" hidden="false" customHeight="true" outlineLevel="0" collapsed="false">
      <c r="B49" s="4" t="s">
        <v>61</v>
      </c>
      <c r="C49" s="5" t="s">
        <v>62</v>
      </c>
    </row>
    <row r="50" customFormat="false" ht="29.25" hidden="false" customHeight="true" outlineLevel="0" collapsed="false">
      <c r="B50" s="4" t="s">
        <v>63</v>
      </c>
      <c r="C50" s="5" t="s">
        <v>64</v>
      </c>
    </row>
    <row r="51" customFormat="false" ht="16.5" hidden="false" customHeight="true" outlineLevel="0" collapsed="false">
      <c r="B51" s="4" t="s">
        <v>65</v>
      </c>
      <c r="C51" s="5" t="s">
        <v>66</v>
      </c>
    </row>
    <row r="52" customFormat="false" ht="29.25" hidden="false" customHeight="true" outlineLevel="0" collapsed="false">
      <c r="B52" s="4" t="s">
        <v>67</v>
      </c>
      <c r="C52" s="5" t="s">
        <v>68</v>
      </c>
    </row>
    <row r="54" customFormat="false" ht="16.5" hidden="false" customHeight="true" outlineLevel="0" collapsed="false">
      <c r="B54" s="3" t="s">
        <v>69</v>
      </c>
      <c r="C54" s="3"/>
    </row>
    <row r="55" customFormat="false" ht="16.5" hidden="false" customHeight="true" outlineLevel="0" collapsed="false">
      <c r="B55" s="2" t="s">
        <v>70</v>
      </c>
      <c r="C55" s="2"/>
    </row>
    <row r="56" customFormat="false" ht="16.5" hidden="false" customHeight="true" outlineLevel="0" collapsed="false">
      <c r="B56" s="2" t="s">
        <v>71</v>
      </c>
      <c r="C56" s="2"/>
    </row>
    <row r="57" customFormat="false" ht="16.5" hidden="false" customHeight="true" outlineLevel="0" collapsed="false">
      <c r="B57" s="2" t="s">
        <v>72</v>
      </c>
      <c r="C57" s="2"/>
    </row>
    <row r="58" customFormat="false" ht="16.5" hidden="false" customHeight="true" outlineLevel="0" collapsed="false">
      <c r="B58" s="2" t="s">
        <v>73</v>
      </c>
      <c r="C58" s="2"/>
    </row>
    <row r="59" customFormat="false" ht="16.5" hidden="false" customHeight="true" outlineLevel="0" collapsed="false">
      <c r="B59" s="2" t="s">
        <v>74</v>
      </c>
      <c r="C59" s="2"/>
    </row>
    <row r="60" customFormat="false" ht="16.5" hidden="false" customHeight="true" outlineLevel="0" collapsed="false">
      <c r="B60" s="2" t="s">
        <v>75</v>
      </c>
      <c r="C60" s="2"/>
    </row>
    <row r="62" customFormat="false" ht="16.5" hidden="false" customHeight="true" outlineLevel="0" collapsed="false">
      <c r="B62" s="3" t="s">
        <v>76</v>
      </c>
      <c r="C62" s="3"/>
    </row>
    <row r="63" customFormat="false" ht="29.25" hidden="false" customHeight="true" outlineLevel="0" collapsed="false">
      <c r="B63" s="2" t="s">
        <v>77</v>
      </c>
      <c r="C63" s="2"/>
    </row>
    <row r="64" customFormat="false" ht="16.5" hidden="false" customHeight="true" outlineLevel="0" collapsed="false">
      <c r="B64" s="2" t="s">
        <v>78</v>
      </c>
      <c r="C64" s="2"/>
    </row>
    <row r="65" customFormat="false" ht="16.5" hidden="false" customHeight="true" outlineLevel="0" collapsed="false">
      <c r="B65" s="2" t="s">
        <v>79</v>
      </c>
      <c r="C65" s="2"/>
    </row>
    <row r="66" customFormat="false" ht="16.5" hidden="false" customHeight="true" outlineLevel="0" collapsed="false">
      <c r="B66" s="2" t="s">
        <v>80</v>
      </c>
      <c r="C66" s="2"/>
    </row>
    <row r="67" customFormat="false" ht="16.5" hidden="false" customHeight="true" outlineLevel="0" collapsed="false">
      <c r="B67" s="2" t="s">
        <v>81</v>
      </c>
      <c r="C67" s="2"/>
    </row>
  </sheetData>
  <mergeCells count="33">
    <mergeCell ref="B1:C1"/>
    <mergeCell ref="B2:C2"/>
    <mergeCell ref="B4:C4"/>
    <mergeCell ref="B11:C11"/>
    <mergeCell ref="B17:C17"/>
    <mergeCell ref="B29:C29"/>
    <mergeCell ref="B30:C30"/>
    <mergeCell ref="B31:C31"/>
    <mergeCell ref="B32:C32"/>
    <mergeCell ref="B33:C33"/>
    <mergeCell ref="B34:C34"/>
    <mergeCell ref="B35:C35"/>
    <mergeCell ref="B37:C37"/>
    <mergeCell ref="B38:C38"/>
    <mergeCell ref="B39:C39"/>
    <mergeCell ref="B40:C40"/>
    <mergeCell ref="B41:C41"/>
    <mergeCell ref="B43:C43"/>
    <mergeCell ref="B44:C44"/>
    <mergeCell ref="B46:C46"/>
    <mergeCell ref="B54:C54"/>
    <mergeCell ref="B55:C55"/>
    <mergeCell ref="B56:C56"/>
    <mergeCell ref="B57:C57"/>
    <mergeCell ref="B58:C58"/>
    <mergeCell ref="B59:C59"/>
    <mergeCell ref="B60:C60"/>
    <mergeCell ref="B62:C62"/>
    <mergeCell ref="B63:C63"/>
    <mergeCell ref="B64:C64"/>
    <mergeCell ref="B65:C65"/>
    <mergeCell ref="B66:C66"/>
    <mergeCell ref="B67:C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1"/>
  <cols>
    <col collapsed="false" customWidth="true" hidden="false" outlineLevel="0" max="1" min="1" style="0" width="7"/>
    <col collapsed="false" customWidth="true" hidden="false" outlineLevel="1" max="2" min="2" style="0" width="22"/>
    <col collapsed="false" customWidth="true" hidden="false" outlineLevel="1" max="3" min="3" style="0" width="28"/>
    <col collapsed="false" customWidth="true" hidden="false" outlineLevel="0" max="4" min="4" style="0" width="44"/>
    <col collapsed="false" customWidth="true" hidden="false" outlineLevel="1" max="5" min="5" style="0" width="16"/>
    <col collapsed="false" customWidth="true" hidden="false" outlineLevel="1" max="7" min="6" style="0" width="10"/>
    <col collapsed="false" customWidth="true" hidden="false" outlineLevel="1" max="8" min="8" style="0" width="7"/>
    <col collapsed="false" customWidth="true" hidden="false" outlineLevel="1" max="9" min="9" style="0" width="9"/>
    <col collapsed="false" customWidth="true" hidden="false" outlineLevel="1" max="10" min="10" style="0" width="10"/>
    <col collapsed="false" customWidth="true" hidden="false" outlineLevel="1" max="11" min="11" style="0" width="7"/>
    <col collapsed="false" customWidth="true" hidden="false" outlineLevel="1" max="12" min="12" style="0" width="8"/>
    <col collapsed="false" customWidth="true" hidden="false" outlineLevel="0" max="13" min="13" style="0" width="17"/>
    <col collapsed="false" customWidth="true" hidden="false" outlineLevel="0" max="14" min="14" style="0" width="30"/>
    <col collapsed="false" customWidth="true" hidden="false" outlineLevel="0" max="15" min="15" style="0" width="22"/>
    <col collapsed="false" customWidth="true" hidden="false" outlineLevel="0" max="16" min="16" style="0" width="18"/>
    <col collapsed="false" customWidth="true" hidden="false" outlineLevel="0" max="18" min="17" style="0" width="11"/>
    <col collapsed="false" customWidth="true" hidden="false" outlineLevel="0" max="19" min="19" style="0" width="10"/>
    <col collapsed="false" customWidth="true" hidden="false" outlineLevel="0" max="20" min="20" style="0" width="11"/>
    <col collapsed="false" customWidth="true" hidden="false" outlineLevel="0" max="21" min="21" style="0" width="24"/>
    <col collapsed="false" customWidth="true" hidden="false" outlineLevel="0" max="22" min="22" style="0" width="46"/>
    <col collapsed="false" customWidth="true" hidden="false" outlineLevel="0" max="23" min="23" style="0" width="56"/>
    <col collapsed="false" customWidth="true" hidden="false" outlineLevel="0" max="24" min="24" style="0" width="10"/>
    <col collapsed="false" customWidth="true" hidden="false" outlineLevel="0" max="25" min="25" style="0" width="44"/>
    <col collapsed="false" customWidth="true" hidden="false" outlineLevel="0" max="26" min="26" style="0" width="40"/>
    <col collapsed="false" customWidth="true" hidden="false" outlineLevel="0" max="27" min="27" style="0" width="30"/>
    <col collapsed="false" customWidth="true" hidden="false" outlineLevel="0" max="28" min="28" style="0" width="26"/>
    <col collapsed="false" customWidth="true" hidden="false" outlineLevel="0" max="29" min="29" style="0" width="10"/>
    <col collapsed="false" customWidth="true" hidden="false" outlineLevel="0" max="30" min="30" style="0" width="9"/>
    <col collapsed="false" customWidth="true" hidden="false" outlineLevel="0" max="32" min="31" style="0" width="12"/>
    <col collapsed="false" customWidth="true" hidden="false" outlineLevel="0" max="34" min="33" style="0" width="10"/>
    <col collapsed="false" customWidth="true" hidden="false" outlineLevel="0" max="35" min="35" style="0" width="9"/>
    <col collapsed="false" customWidth="true" hidden="false" outlineLevel="0" max="36" min="36" style="0" width="11"/>
    <col collapsed="false" customWidth="true" hidden="false" outlineLevel="0" max="37" min="37" style="0" width="32"/>
    <col collapsed="false" customWidth="true" hidden="false" outlineLevel="0" max="38" min="38" style="0" width="34"/>
  </cols>
  <sheetData>
    <row r="1" customFormat="false" ht="19.5" hidden="false" customHeight="true" outlineLevel="0" collapsed="false">
      <c r="A1" s="12" t="s">
        <v>82</v>
      </c>
      <c r="B1" s="12"/>
      <c r="C1" s="12"/>
      <c r="D1" s="12"/>
      <c r="E1" s="12"/>
      <c r="F1" s="12"/>
      <c r="G1" s="12"/>
      <c r="H1" s="12"/>
      <c r="I1" s="12"/>
      <c r="J1" s="12"/>
      <c r="K1" s="12"/>
      <c r="L1" s="12"/>
      <c r="M1" s="13" t="s">
        <v>83</v>
      </c>
      <c r="N1" s="13"/>
      <c r="O1" s="13"/>
      <c r="P1" s="13"/>
      <c r="Q1" s="13"/>
      <c r="R1" s="13"/>
      <c r="S1" s="13"/>
      <c r="T1" s="13"/>
      <c r="U1" s="13"/>
      <c r="V1" s="13"/>
      <c r="W1" s="13"/>
      <c r="X1" s="13"/>
      <c r="Y1" s="13"/>
      <c r="Z1" s="13"/>
      <c r="AA1" s="13"/>
      <c r="AB1" s="13"/>
      <c r="AC1" s="13"/>
      <c r="AD1" s="13"/>
      <c r="AE1" s="14" t="s">
        <v>84</v>
      </c>
      <c r="AF1" s="14"/>
      <c r="AG1" s="14"/>
      <c r="AH1" s="14"/>
      <c r="AI1" s="14"/>
      <c r="AJ1" s="14"/>
      <c r="AK1" s="14"/>
      <c r="AL1" s="15" t="s">
        <v>85</v>
      </c>
    </row>
    <row r="2" customFormat="false" ht="42" hidden="false" customHeight="true" outlineLevel="0" collapsed="false">
      <c r="A2" s="16" t="s">
        <v>86</v>
      </c>
      <c r="B2" s="16" t="s">
        <v>87</v>
      </c>
      <c r="C2" s="16" t="s">
        <v>88</v>
      </c>
      <c r="D2" s="16" t="s">
        <v>89</v>
      </c>
      <c r="E2" s="16" t="s">
        <v>90</v>
      </c>
      <c r="F2" s="16" t="s">
        <v>91</v>
      </c>
      <c r="G2" s="16" t="s">
        <v>92</v>
      </c>
      <c r="H2" s="16" t="s">
        <v>93</v>
      </c>
      <c r="I2" s="16" t="s">
        <v>94</v>
      </c>
      <c r="J2" s="16" t="s">
        <v>95</v>
      </c>
      <c r="K2" s="16" t="s">
        <v>96</v>
      </c>
      <c r="L2" s="16" t="s">
        <v>97</v>
      </c>
      <c r="M2" s="16" t="s">
        <v>98</v>
      </c>
      <c r="N2" s="16" t="s">
        <v>99</v>
      </c>
      <c r="O2" s="16" t="s">
        <v>100</v>
      </c>
      <c r="P2" s="16" t="s">
        <v>101</v>
      </c>
      <c r="Q2" s="16" t="s">
        <v>102</v>
      </c>
      <c r="R2" s="16" t="s">
        <v>103</v>
      </c>
      <c r="S2" s="16" t="s">
        <v>31</v>
      </c>
      <c r="T2" s="16" t="s">
        <v>104</v>
      </c>
      <c r="U2" s="16" t="s">
        <v>37</v>
      </c>
      <c r="V2" s="16" t="s">
        <v>105</v>
      </c>
      <c r="W2" s="16" t="s">
        <v>106</v>
      </c>
      <c r="X2" s="16" t="s">
        <v>35</v>
      </c>
      <c r="Y2" s="16" t="s">
        <v>107</v>
      </c>
      <c r="Z2" s="16" t="s">
        <v>108</v>
      </c>
      <c r="AA2" s="16" t="s">
        <v>109</v>
      </c>
      <c r="AB2" s="16" t="s">
        <v>110</v>
      </c>
      <c r="AC2" s="16" t="s">
        <v>111</v>
      </c>
      <c r="AD2" s="16" t="s">
        <v>112</v>
      </c>
      <c r="AE2" s="16" t="s">
        <v>113</v>
      </c>
      <c r="AF2" s="16" t="s">
        <v>114</v>
      </c>
      <c r="AG2" s="16" t="s">
        <v>115</v>
      </c>
      <c r="AH2" s="16" t="s">
        <v>116</v>
      </c>
      <c r="AI2" s="16" t="s">
        <v>117</v>
      </c>
      <c r="AJ2" s="16" t="s">
        <v>118</v>
      </c>
      <c r="AK2" s="16" t="s">
        <v>119</v>
      </c>
      <c r="AL2" s="16" t="s">
        <v>120</v>
      </c>
    </row>
    <row r="3" customFormat="false" ht="67.5" hidden="false" customHeight="true" outlineLevel="0" collapsed="false">
      <c r="A3" s="17" t="n">
        <v>30</v>
      </c>
      <c r="B3" s="18" t="s">
        <v>121</v>
      </c>
      <c r="C3" s="18" t="s">
        <v>122</v>
      </c>
      <c r="D3" s="18" t="s">
        <v>123</v>
      </c>
      <c r="E3" s="18" t="s">
        <v>124</v>
      </c>
      <c r="F3" s="18" t="s">
        <v>125</v>
      </c>
      <c r="G3" s="18" t="s">
        <v>126</v>
      </c>
      <c r="H3" s="17" t="s">
        <v>127</v>
      </c>
      <c r="I3" s="18" t="s">
        <v>128</v>
      </c>
      <c r="J3" s="18" t="s">
        <v>129</v>
      </c>
      <c r="K3" s="17" t="s">
        <v>130</v>
      </c>
      <c r="L3" s="17" t="s">
        <v>130</v>
      </c>
      <c r="M3" s="19" t="s">
        <v>131</v>
      </c>
      <c r="N3" s="19" t="s">
        <v>132</v>
      </c>
      <c r="O3" s="19" t="s">
        <v>133</v>
      </c>
      <c r="P3" s="19"/>
      <c r="Q3" s="20" t="s">
        <v>134</v>
      </c>
      <c r="R3" s="20" t="s">
        <v>25</v>
      </c>
      <c r="S3" s="20" t="s">
        <v>135</v>
      </c>
      <c r="T3" s="20" t="s">
        <v>136</v>
      </c>
      <c r="U3" s="19" t="s">
        <v>137</v>
      </c>
      <c r="V3" s="19" t="s">
        <v>138</v>
      </c>
      <c r="W3" s="19" t="s">
        <v>139</v>
      </c>
      <c r="X3" s="20" t="s">
        <v>140</v>
      </c>
      <c r="Y3" s="19" t="s">
        <v>141</v>
      </c>
      <c r="Z3" s="19" t="s">
        <v>142</v>
      </c>
      <c r="AA3" s="19" t="s">
        <v>143</v>
      </c>
      <c r="AB3" s="19" t="s">
        <v>144</v>
      </c>
      <c r="AC3" s="20"/>
      <c r="AD3" s="21" t="n">
        <f aca="false">INDEX(Methods!$D$2:$D$11,MATCH(Q3,Methods!$A$2:$A$11,0))</f>
        <v>0</v>
      </c>
      <c r="AE3" s="22" t="s">
        <v>145</v>
      </c>
      <c r="AF3" s="22"/>
      <c r="AG3" s="22"/>
      <c r="AH3" s="23"/>
      <c r="AI3" s="24"/>
      <c r="AJ3" s="25"/>
      <c r="AK3" s="22"/>
      <c r="AL3" s="18" t="s">
        <v>146</v>
      </c>
    </row>
    <row r="4" customFormat="false" ht="54.75" hidden="false" customHeight="true" outlineLevel="0" collapsed="false">
      <c r="A4" s="17" t="n">
        <v>31</v>
      </c>
      <c r="B4" s="18" t="s">
        <v>121</v>
      </c>
      <c r="C4" s="18" t="s">
        <v>122</v>
      </c>
      <c r="D4" s="18" t="s">
        <v>147</v>
      </c>
      <c r="E4" s="18" t="s">
        <v>124</v>
      </c>
      <c r="F4" s="18" t="s">
        <v>125</v>
      </c>
      <c r="G4" s="18" t="s">
        <v>126</v>
      </c>
      <c r="H4" s="17" t="s">
        <v>127</v>
      </c>
      <c r="I4" s="18" t="s">
        <v>148</v>
      </c>
      <c r="J4" s="18" t="s">
        <v>129</v>
      </c>
      <c r="K4" s="17" t="s">
        <v>130</v>
      </c>
      <c r="L4" s="17" t="s">
        <v>130</v>
      </c>
      <c r="M4" s="19" t="s">
        <v>149</v>
      </c>
      <c r="N4" s="19" t="s">
        <v>150</v>
      </c>
      <c r="O4" s="19" t="s">
        <v>151</v>
      </c>
      <c r="P4" s="19" t="s">
        <v>152</v>
      </c>
      <c r="Q4" s="20" t="s">
        <v>134</v>
      </c>
      <c r="R4" s="20" t="s">
        <v>25</v>
      </c>
      <c r="S4" s="20" t="s">
        <v>135</v>
      </c>
      <c r="T4" s="20" t="s">
        <v>153</v>
      </c>
      <c r="U4" s="19" t="s">
        <v>154</v>
      </c>
      <c r="V4" s="19" t="s">
        <v>155</v>
      </c>
      <c r="W4" s="19" t="s">
        <v>156</v>
      </c>
      <c r="X4" s="20" t="s">
        <v>140</v>
      </c>
      <c r="Y4" s="19" t="s">
        <v>157</v>
      </c>
      <c r="Z4" s="19" t="s">
        <v>158</v>
      </c>
      <c r="AA4" s="19" t="s">
        <v>159</v>
      </c>
      <c r="AB4" s="19" t="s">
        <v>160</v>
      </c>
      <c r="AC4" s="20"/>
      <c r="AD4" s="21" t="n">
        <f aca="false">INDEX(Methods!$D$2:$D$11,MATCH(Q4,Methods!$A$2:$A$11,0))</f>
        <v>0</v>
      </c>
      <c r="AE4" s="22" t="s">
        <v>145</v>
      </c>
      <c r="AF4" s="22"/>
      <c r="AG4" s="22"/>
      <c r="AH4" s="23"/>
      <c r="AI4" s="24"/>
      <c r="AJ4" s="25"/>
      <c r="AK4" s="22"/>
      <c r="AL4" s="18" t="s">
        <v>161</v>
      </c>
    </row>
    <row r="5" customFormat="false" ht="42" hidden="false" customHeight="true" outlineLevel="0" collapsed="false">
      <c r="A5" s="17" t="n">
        <v>33</v>
      </c>
      <c r="B5" s="18" t="s">
        <v>121</v>
      </c>
      <c r="C5" s="18" t="s">
        <v>122</v>
      </c>
      <c r="D5" s="18" t="s">
        <v>162</v>
      </c>
      <c r="E5" s="18" t="s">
        <v>124</v>
      </c>
      <c r="F5" s="18" t="s">
        <v>125</v>
      </c>
      <c r="G5" s="18" t="s">
        <v>126</v>
      </c>
      <c r="H5" s="17" t="s">
        <v>127</v>
      </c>
      <c r="I5" s="18" t="s">
        <v>128</v>
      </c>
      <c r="J5" s="18" t="s">
        <v>129</v>
      </c>
      <c r="K5" s="17" t="s">
        <v>130</v>
      </c>
      <c r="L5" s="17" t="s">
        <v>130</v>
      </c>
      <c r="M5" s="19" t="s">
        <v>163</v>
      </c>
      <c r="N5" s="19" t="s">
        <v>164</v>
      </c>
      <c r="O5" s="19"/>
      <c r="P5" s="19" t="s">
        <v>152</v>
      </c>
      <c r="Q5" s="20" t="s">
        <v>134</v>
      </c>
      <c r="R5" s="20" t="s">
        <v>25</v>
      </c>
      <c r="S5" s="20" t="s">
        <v>135</v>
      </c>
      <c r="T5" s="20" t="s">
        <v>153</v>
      </c>
      <c r="U5" s="19" t="s">
        <v>154</v>
      </c>
      <c r="V5" s="19" t="s">
        <v>165</v>
      </c>
      <c r="W5" s="19" t="s">
        <v>166</v>
      </c>
      <c r="X5" s="20" t="s">
        <v>140</v>
      </c>
      <c r="Y5" s="19" t="s">
        <v>167</v>
      </c>
      <c r="Z5" s="19" t="s">
        <v>168</v>
      </c>
      <c r="AA5" s="19" t="s">
        <v>143</v>
      </c>
      <c r="AB5" s="19" t="s">
        <v>169</v>
      </c>
      <c r="AC5" s="20" t="n">
        <v>30</v>
      </c>
      <c r="AD5" s="21" t="n">
        <f aca="false">INDEX(Methods!$D$2:$D$11,MATCH(Q5,Methods!$A$2:$A$11,0))</f>
        <v>0</v>
      </c>
      <c r="AE5" s="22" t="s">
        <v>145</v>
      </c>
      <c r="AF5" s="22"/>
      <c r="AG5" s="22"/>
      <c r="AH5" s="23"/>
      <c r="AI5" s="24"/>
      <c r="AJ5" s="25"/>
      <c r="AK5" s="22"/>
      <c r="AL5" s="18" t="s">
        <v>170</v>
      </c>
    </row>
    <row r="6" customFormat="false" ht="54.75" hidden="false" customHeight="true" outlineLevel="0" collapsed="false">
      <c r="A6" s="17" t="n">
        <v>34</v>
      </c>
      <c r="B6" s="18" t="s">
        <v>121</v>
      </c>
      <c r="C6" s="18" t="s">
        <v>122</v>
      </c>
      <c r="D6" s="18" t="s">
        <v>171</v>
      </c>
      <c r="E6" s="18" t="s">
        <v>124</v>
      </c>
      <c r="F6" s="18" t="s">
        <v>172</v>
      </c>
      <c r="G6" s="18" t="s">
        <v>173</v>
      </c>
      <c r="H6" s="17" t="s">
        <v>127</v>
      </c>
      <c r="I6" s="18" t="s">
        <v>128</v>
      </c>
      <c r="J6" s="18" t="s">
        <v>129</v>
      </c>
      <c r="K6" s="17" t="s">
        <v>130</v>
      </c>
      <c r="L6" s="17" t="s">
        <v>130</v>
      </c>
      <c r="M6" s="19" t="s">
        <v>174</v>
      </c>
      <c r="N6" s="19" t="s">
        <v>175</v>
      </c>
      <c r="O6" s="19"/>
      <c r="P6" s="19" t="s">
        <v>176</v>
      </c>
      <c r="Q6" s="20" t="s">
        <v>177</v>
      </c>
      <c r="R6" s="20" t="s">
        <v>23</v>
      </c>
      <c r="S6" s="20" t="s">
        <v>136</v>
      </c>
      <c r="T6" s="20" t="s">
        <v>153</v>
      </c>
      <c r="U6" s="19" t="s">
        <v>178</v>
      </c>
      <c r="V6" s="19" t="s">
        <v>179</v>
      </c>
      <c r="W6" s="19" t="s">
        <v>180</v>
      </c>
      <c r="X6" s="20" t="s">
        <v>181</v>
      </c>
      <c r="Y6" s="19" t="s">
        <v>182</v>
      </c>
      <c r="Z6" s="19" t="s">
        <v>183</v>
      </c>
      <c r="AA6" s="19" t="s">
        <v>184</v>
      </c>
      <c r="AB6" s="19" t="s">
        <v>185</v>
      </c>
      <c r="AC6" s="20"/>
      <c r="AD6" s="21" t="n">
        <f aca="false">INDEX(Methods!$D$2:$D$11,MATCH(Q6,Methods!$A$2:$A$11,0))</f>
        <v>0</v>
      </c>
      <c r="AE6" s="22" t="s">
        <v>145</v>
      </c>
      <c r="AF6" s="22"/>
      <c r="AG6" s="22"/>
      <c r="AH6" s="23"/>
      <c r="AI6" s="24"/>
      <c r="AJ6" s="25"/>
      <c r="AK6" s="22"/>
      <c r="AL6" s="18" t="s">
        <v>186</v>
      </c>
    </row>
    <row r="7" customFormat="false" ht="54.75" hidden="false" customHeight="true" outlineLevel="0" collapsed="false">
      <c r="A7" s="17" t="n">
        <v>36</v>
      </c>
      <c r="B7" s="18" t="s">
        <v>121</v>
      </c>
      <c r="C7" s="18" t="s">
        <v>122</v>
      </c>
      <c r="D7" s="18" t="s">
        <v>187</v>
      </c>
      <c r="E7" s="18" t="s">
        <v>124</v>
      </c>
      <c r="F7" s="18" t="s">
        <v>172</v>
      </c>
      <c r="G7" s="18" t="s">
        <v>173</v>
      </c>
      <c r="H7" s="17" t="s">
        <v>127</v>
      </c>
      <c r="I7" s="18" t="s">
        <v>128</v>
      </c>
      <c r="J7" s="18" t="s">
        <v>129</v>
      </c>
      <c r="K7" s="17" t="s">
        <v>130</v>
      </c>
      <c r="L7" s="17" t="s">
        <v>130</v>
      </c>
      <c r="M7" s="19" t="s">
        <v>188</v>
      </c>
      <c r="N7" s="19" t="s">
        <v>189</v>
      </c>
      <c r="O7" s="19"/>
      <c r="P7" s="19" t="s">
        <v>190</v>
      </c>
      <c r="Q7" s="20" t="s">
        <v>177</v>
      </c>
      <c r="R7" s="20" t="s">
        <v>25</v>
      </c>
      <c r="S7" s="20" t="s">
        <v>135</v>
      </c>
      <c r="T7" s="20" t="s">
        <v>136</v>
      </c>
      <c r="U7" s="19" t="s">
        <v>191</v>
      </c>
      <c r="V7" s="19" t="s">
        <v>192</v>
      </c>
      <c r="W7" s="19" t="s">
        <v>193</v>
      </c>
      <c r="X7" s="20" t="s">
        <v>140</v>
      </c>
      <c r="Y7" s="19" t="s">
        <v>194</v>
      </c>
      <c r="Z7" s="19" t="s">
        <v>195</v>
      </c>
      <c r="AA7" s="19" t="s">
        <v>196</v>
      </c>
      <c r="AB7" s="19" t="s">
        <v>197</v>
      </c>
      <c r="AC7" s="20"/>
      <c r="AD7" s="21" t="n">
        <f aca="false">INDEX(Methods!$D$2:$D$11,MATCH(Q7,Methods!$A$2:$A$11,0))</f>
        <v>0</v>
      </c>
      <c r="AE7" s="22" t="s">
        <v>145</v>
      </c>
      <c r="AF7" s="22"/>
      <c r="AG7" s="22"/>
      <c r="AH7" s="23"/>
      <c r="AI7" s="24"/>
      <c r="AJ7" s="25"/>
      <c r="AK7" s="22"/>
      <c r="AL7" s="18" t="s">
        <v>198</v>
      </c>
    </row>
    <row r="8" customFormat="false" ht="54.75" hidden="false" customHeight="true" outlineLevel="0" collapsed="false">
      <c r="A8" s="17" t="n">
        <v>37</v>
      </c>
      <c r="B8" s="18" t="s">
        <v>121</v>
      </c>
      <c r="C8" s="18" t="s">
        <v>122</v>
      </c>
      <c r="D8" s="18" t="s">
        <v>199</v>
      </c>
      <c r="E8" s="18" t="s">
        <v>124</v>
      </c>
      <c r="F8" s="18" t="s">
        <v>125</v>
      </c>
      <c r="G8" s="18" t="s">
        <v>173</v>
      </c>
      <c r="H8" s="17" t="s">
        <v>127</v>
      </c>
      <c r="I8" s="18" t="s">
        <v>128</v>
      </c>
      <c r="J8" s="18" t="s">
        <v>129</v>
      </c>
      <c r="K8" s="17" t="s">
        <v>130</v>
      </c>
      <c r="L8" s="17" t="s">
        <v>130</v>
      </c>
      <c r="M8" s="19" t="s">
        <v>163</v>
      </c>
      <c r="N8" s="19" t="s">
        <v>200</v>
      </c>
      <c r="O8" s="19"/>
      <c r="P8" s="19"/>
      <c r="Q8" s="20" t="s">
        <v>177</v>
      </c>
      <c r="R8" s="20" t="s">
        <v>25</v>
      </c>
      <c r="S8" s="20" t="s">
        <v>135</v>
      </c>
      <c r="T8" s="20" t="s">
        <v>136</v>
      </c>
      <c r="U8" s="19" t="s">
        <v>137</v>
      </c>
      <c r="V8" s="19" t="s">
        <v>201</v>
      </c>
      <c r="W8" s="19" t="s">
        <v>202</v>
      </c>
      <c r="X8" s="20" t="s">
        <v>181</v>
      </c>
      <c r="Y8" s="19" t="s">
        <v>203</v>
      </c>
      <c r="Z8" s="19" t="s">
        <v>204</v>
      </c>
      <c r="AA8" s="19" t="s">
        <v>205</v>
      </c>
      <c r="AB8" s="19" t="s">
        <v>206</v>
      </c>
      <c r="AC8" s="20"/>
      <c r="AD8" s="21" t="n">
        <f aca="false">INDEX(Methods!$D$2:$D$11,MATCH(Q8,Methods!$A$2:$A$11,0))</f>
        <v>0</v>
      </c>
      <c r="AE8" s="22" t="s">
        <v>145</v>
      </c>
      <c r="AF8" s="22"/>
      <c r="AG8" s="22"/>
      <c r="AH8" s="23"/>
      <c r="AI8" s="24"/>
      <c r="AJ8" s="25"/>
      <c r="AK8" s="22"/>
      <c r="AL8" s="18" t="s">
        <v>207</v>
      </c>
    </row>
    <row r="9" customFormat="false" ht="42" hidden="false" customHeight="true" outlineLevel="0" collapsed="false">
      <c r="A9" s="17" t="n">
        <v>38</v>
      </c>
      <c r="B9" s="18" t="s">
        <v>121</v>
      </c>
      <c r="C9" s="18" t="s">
        <v>122</v>
      </c>
      <c r="D9" s="18" t="s">
        <v>208</v>
      </c>
      <c r="E9" s="18" t="s">
        <v>124</v>
      </c>
      <c r="F9" s="18" t="s">
        <v>125</v>
      </c>
      <c r="G9" s="18" t="s">
        <v>173</v>
      </c>
      <c r="H9" s="17" t="s">
        <v>127</v>
      </c>
      <c r="I9" s="18" t="s">
        <v>128</v>
      </c>
      <c r="J9" s="18" t="s">
        <v>129</v>
      </c>
      <c r="K9" s="17" t="s">
        <v>130</v>
      </c>
      <c r="L9" s="17" t="s">
        <v>130</v>
      </c>
      <c r="M9" s="19" t="s">
        <v>163</v>
      </c>
      <c r="N9" s="19" t="s">
        <v>209</v>
      </c>
      <c r="O9" s="19"/>
      <c r="P9" s="19"/>
      <c r="Q9" s="20" t="s">
        <v>134</v>
      </c>
      <c r="R9" s="20" t="s">
        <v>25</v>
      </c>
      <c r="S9" s="20" t="s">
        <v>135</v>
      </c>
      <c r="T9" s="20" t="s">
        <v>153</v>
      </c>
      <c r="U9" s="19" t="s">
        <v>154</v>
      </c>
      <c r="V9" s="19" t="s">
        <v>210</v>
      </c>
      <c r="W9" s="19" t="s">
        <v>211</v>
      </c>
      <c r="X9" s="20" t="s">
        <v>140</v>
      </c>
      <c r="Y9" s="19" t="s">
        <v>212</v>
      </c>
      <c r="Z9" s="19" t="s">
        <v>213</v>
      </c>
      <c r="AA9" s="19" t="s">
        <v>214</v>
      </c>
      <c r="AB9" s="19" t="s">
        <v>215</v>
      </c>
      <c r="AC9" s="20"/>
      <c r="AD9" s="21" t="n">
        <f aca="false">INDEX(Methods!$D$2:$D$11,MATCH(Q9,Methods!$A$2:$A$11,0))</f>
        <v>0</v>
      </c>
      <c r="AE9" s="22" t="s">
        <v>145</v>
      </c>
      <c r="AF9" s="22"/>
      <c r="AG9" s="22"/>
      <c r="AH9" s="23"/>
      <c r="AI9" s="24"/>
      <c r="AJ9" s="25"/>
      <c r="AK9" s="22"/>
      <c r="AL9" s="18" t="s">
        <v>216</v>
      </c>
    </row>
    <row r="10" customFormat="false" ht="42" hidden="false" customHeight="true" outlineLevel="0" collapsed="false">
      <c r="A10" s="17" t="n">
        <v>40</v>
      </c>
      <c r="B10" s="18" t="s">
        <v>121</v>
      </c>
      <c r="C10" s="18" t="s">
        <v>217</v>
      </c>
      <c r="D10" s="18" t="s">
        <v>218</v>
      </c>
      <c r="E10" s="18" t="s">
        <v>124</v>
      </c>
      <c r="F10" s="18" t="s">
        <v>172</v>
      </c>
      <c r="G10" s="18" t="s">
        <v>173</v>
      </c>
      <c r="H10" s="17" t="s">
        <v>127</v>
      </c>
      <c r="I10" s="18" t="s">
        <v>128</v>
      </c>
      <c r="J10" s="18" t="s">
        <v>129</v>
      </c>
      <c r="K10" s="17" t="s">
        <v>130</v>
      </c>
      <c r="L10" s="17" t="s">
        <v>130</v>
      </c>
      <c r="M10" s="19" t="s">
        <v>174</v>
      </c>
      <c r="N10" s="19" t="s">
        <v>219</v>
      </c>
      <c r="O10" s="19"/>
      <c r="P10" s="19" t="s">
        <v>220</v>
      </c>
      <c r="Q10" s="20" t="s">
        <v>177</v>
      </c>
      <c r="R10" s="20" t="s">
        <v>23</v>
      </c>
      <c r="S10" s="20" t="s">
        <v>136</v>
      </c>
      <c r="T10" s="20" t="s">
        <v>153</v>
      </c>
      <c r="U10" s="19" t="s">
        <v>178</v>
      </c>
      <c r="V10" s="19" t="s">
        <v>221</v>
      </c>
      <c r="W10" s="19" t="s">
        <v>222</v>
      </c>
      <c r="X10" s="20" t="s">
        <v>181</v>
      </c>
      <c r="Y10" s="19" t="s">
        <v>223</v>
      </c>
      <c r="Z10" s="19" t="s">
        <v>224</v>
      </c>
      <c r="AA10" s="19" t="s">
        <v>225</v>
      </c>
      <c r="AB10" s="19" t="s">
        <v>226</v>
      </c>
      <c r="AC10" s="20"/>
      <c r="AD10" s="21" t="n">
        <f aca="false">INDEX(Methods!$D$2:$D$11,MATCH(Q10,Methods!$A$2:$A$11,0))</f>
        <v>0</v>
      </c>
      <c r="AE10" s="22" t="s">
        <v>145</v>
      </c>
      <c r="AF10" s="22"/>
      <c r="AG10" s="22"/>
      <c r="AH10" s="23"/>
      <c r="AI10" s="24"/>
      <c r="AJ10" s="25"/>
      <c r="AK10" s="22"/>
      <c r="AL10" s="18" t="s">
        <v>227</v>
      </c>
    </row>
    <row r="11" customFormat="false" ht="42" hidden="false" customHeight="true" outlineLevel="0" collapsed="false">
      <c r="A11" s="17" t="n">
        <v>63</v>
      </c>
      <c r="B11" s="18" t="s">
        <v>121</v>
      </c>
      <c r="C11" s="18" t="s">
        <v>228</v>
      </c>
      <c r="D11" s="18" t="s">
        <v>229</v>
      </c>
      <c r="E11" s="18" t="s">
        <v>124</v>
      </c>
      <c r="F11" s="18" t="s">
        <v>172</v>
      </c>
      <c r="G11" s="18" t="s">
        <v>173</v>
      </c>
      <c r="H11" s="17" t="s">
        <v>127</v>
      </c>
      <c r="I11" s="18" t="s">
        <v>128</v>
      </c>
      <c r="J11" s="18" t="s">
        <v>129</v>
      </c>
      <c r="K11" s="17" t="s">
        <v>130</v>
      </c>
      <c r="L11" s="17" t="s">
        <v>130</v>
      </c>
      <c r="M11" s="19" t="s">
        <v>230</v>
      </c>
      <c r="N11" s="19" t="s">
        <v>231</v>
      </c>
      <c r="O11" s="19"/>
      <c r="P11" s="19"/>
      <c r="Q11" s="20" t="s">
        <v>177</v>
      </c>
      <c r="R11" s="20" t="s">
        <v>25</v>
      </c>
      <c r="S11" s="20" t="s">
        <v>135</v>
      </c>
      <c r="T11" s="20" t="s">
        <v>153</v>
      </c>
      <c r="U11" s="19" t="s">
        <v>178</v>
      </c>
      <c r="V11" s="19" t="s">
        <v>232</v>
      </c>
      <c r="W11" s="19" t="s">
        <v>233</v>
      </c>
      <c r="X11" s="20" t="s">
        <v>181</v>
      </c>
      <c r="Y11" s="19" t="s">
        <v>234</v>
      </c>
      <c r="Z11" s="19" t="s">
        <v>235</v>
      </c>
      <c r="AA11" s="19" t="s">
        <v>236</v>
      </c>
      <c r="AB11" s="19" t="s">
        <v>237</v>
      </c>
      <c r="AC11" s="20"/>
      <c r="AD11" s="21" t="n">
        <f aca="false">INDEX(Methods!$D$2:$D$11,MATCH(Q11,Methods!$A$2:$A$11,0))</f>
        <v>0</v>
      </c>
      <c r="AE11" s="22" t="s">
        <v>145</v>
      </c>
      <c r="AF11" s="22"/>
      <c r="AG11" s="22"/>
      <c r="AH11" s="23"/>
      <c r="AI11" s="24"/>
      <c r="AJ11" s="25"/>
      <c r="AK11" s="22"/>
      <c r="AL11" s="18" t="s">
        <v>238</v>
      </c>
    </row>
    <row r="12" customFormat="false" ht="54.75" hidden="false" customHeight="true" outlineLevel="0" collapsed="false">
      <c r="A12" s="17" t="n">
        <v>69</v>
      </c>
      <c r="B12" s="18" t="s">
        <v>121</v>
      </c>
      <c r="C12" s="18" t="s">
        <v>239</v>
      </c>
      <c r="D12" s="18" t="s">
        <v>240</v>
      </c>
      <c r="E12" s="18" t="s">
        <v>124</v>
      </c>
      <c r="F12" s="18" t="s">
        <v>125</v>
      </c>
      <c r="G12" s="18" t="s">
        <v>126</v>
      </c>
      <c r="H12" s="17" t="s">
        <v>130</v>
      </c>
      <c r="I12" s="18" t="s">
        <v>128</v>
      </c>
      <c r="J12" s="18" t="s">
        <v>129</v>
      </c>
      <c r="K12" s="17" t="s">
        <v>130</v>
      </c>
      <c r="L12" s="17" t="s">
        <v>130</v>
      </c>
      <c r="M12" s="19" t="s">
        <v>241</v>
      </c>
      <c r="N12" s="19" t="s">
        <v>242</v>
      </c>
      <c r="O12" s="19"/>
      <c r="P12" s="19" t="s">
        <v>243</v>
      </c>
      <c r="Q12" s="20" t="s">
        <v>244</v>
      </c>
      <c r="R12" s="20" t="s">
        <v>27</v>
      </c>
      <c r="S12" s="20" t="s">
        <v>135</v>
      </c>
      <c r="T12" s="20" t="s">
        <v>153</v>
      </c>
      <c r="U12" s="19" t="s">
        <v>245</v>
      </c>
      <c r="V12" s="19" t="s">
        <v>246</v>
      </c>
      <c r="W12" s="19" t="s">
        <v>247</v>
      </c>
      <c r="X12" s="20" t="s">
        <v>127</v>
      </c>
      <c r="Y12" s="19" t="s">
        <v>248</v>
      </c>
      <c r="Z12" s="19" t="s">
        <v>249</v>
      </c>
      <c r="AA12" s="19" t="s">
        <v>250</v>
      </c>
      <c r="AB12" s="19" t="s">
        <v>251</v>
      </c>
      <c r="AC12" s="20"/>
      <c r="AD12" s="21" t="n">
        <f aca="false">INDEX(Methods!$D$2:$D$11,MATCH(Q12,Methods!$A$2:$A$11,0))</f>
        <v>10</v>
      </c>
      <c r="AE12" s="22" t="s">
        <v>145</v>
      </c>
      <c r="AF12" s="22"/>
      <c r="AG12" s="22"/>
      <c r="AH12" s="23"/>
      <c r="AI12" s="24"/>
      <c r="AJ12" s="25"/>
      <c r="AK12" s="22"/>
      <c r="AL12" s="18" t="s">
        <v>252</v>
      </c>
    </row>
    <row r="13" customFormat="false" ht="29.25" hidden="false" customHeight="true" outlineLevel="0" collapsed="false">
      <c r="A13" s="17" t="n">
        <v>72</v>
      </c>
      <c r="B13" s="18" t="s">
        <v>253</v>
      </c>
      <c r="C13" s="18" t="s">
        <v>254</v>
      </c>
      <c r="D13" s="18" t="s">
        <v>147</v>
      </c>
      <c r="E13" s="18" t="s">
        <v>124</v>
      </c>
      <c r="F13" s="18" t="s">
        <v>125</v>
      </c>
      <c r="G13" s="18" t="s">
        <v>126</v>
      </c>
      <c r="H13" s="17" t="s">
        <v>127</v>
      </c>
      <c r="I13" s="18" t="s">
        <v>128</v>
      </c>
      <c r="J13" s="18" t="s">
        <v>129</v>
      </c>
      <c r="K13" s="17" t="s">
        <v>130</v>
      </c>
      <c r="L13" s="17" t="s">
        <v>130</v>
      </c>
      <c r="M13" s="19" t="s">
        <v>149</v>
      </c>
      <c r="N13" s="19" t="s">
        <v>255</v>
      </c>
      <c r="O13" s="19" t="s">
        <v>151</v>
      </c>
      <c r="P13" s="19" t="s">
        <v>152</v>
      </c>
      <c r="Q13" s="20" t="s">
        <v>134</v>
      </c>
      <c r="R13" s="20" t="s">
        <v>25</v>
      </c>
      <c r="S13" s="20" t="s">
        <v>135</v>
      </c>
      <c r="T13" s="20" t="s">
        <v>153</v>
      </c>
      <c r="U13" s="19" t="s">
        <v>154</v>
      </c>
      <c r="V13" s="19" t="s">
        <v>155</v>
      </c>
      <c r="W13" s="19" t="s">
        <v>256</v>
      </c>
      <c r="X13" s="20" t="s">
        <v>140</v>
      </c>
      <c r="Y13" s="19" t="s">
        <v>257</v>
      </c>
      <c r="Z13" s="19" t="s">
        <v>258</v>
      </c>
      <c r="AA13" s="19" t="s">
        <v>259</v>
      </c>
      <c r="AB13" s="19" t="s">
        <v>160</v>
      </c>
      <c r="AC13" s="20" t="n">
        <v>31</v>
      </c>
      <c r="AD13" s="21" t="n">
        <f aca="false">INDEX(Methods!$D$2:$D$11,MATCH(Q13,Methods!$A$2:$A$11,0))</f>
        <v>0</v>
      </c>
      <c r="AE13" s="22" t="s">
        <v>145</v>
      </c>
      <c r="AF13" s="22"/>
      <c r="AG13" s="22"/>
      <c r="AH13" s="23"/>
      <c r="AI13" s="24"/>
      <c r="AJ13" s="25"/>
      <c r="AK13" s="22"/>
      <c r="AL13" s="18" t="s">
        <v>161</v>
      </c>
    </row>
    <row r="14" customFormat="false" ht="42" hidden="false" customHeight="true" outlineLevel="0" collapsed="false">
      <c r="A14" s="17" t="n">
        <v>76</v>
      </c>
      <c r="B14" s="18" t="s">
        <v>253</v>
      </c>
      <c r="C14" s="18" t="s">
        <v>254</v>
      </c>
      <c r="D14" s="18" t="s">
        <v>187</v>
      </c>
      <c r="E14" s="18" t="s">
        <v>124</v>
      </c>
      <c r="F14" s="18" t="s">
        <v>172</v>
      </c>
      <c r="G14" s="18" t="s">
        <v>173</v>
      </c>
      <c r="H14" s="17" t="s">
        <v>127</v>
      </c>
      <c r="I14" s="18" t="s">
        <v>128</v>
      </c>
      <c r="J14" s="18" t="s">
        <v>129</v>
      </c>
      <c r="K14" s="17" t="s">
        <v>130</v>
      </c>
      <c r="L14" s="17" t="s">
        <v>130</v>
      </c>
      <c r="M14" s="19" t="s">
        <v>188</v>
      </c>
      <c r="N14" s="19" t="s">
        <v>260</v>
      </c>
      <c r="O14" s="19"/>
      <c r="P14" s="19" t="s">
        <v>190</v>
      </c>
      <c r="Q14" s="20" t="s">
        <v>177</v>
      </c>
      <c r="R14" s="20" t="s">
        <v>25</v>
      </c>
      <c r="S14" s="20" t="s">
        <v>135</v>
      </c>
      <c r="T14" s="20" t="s">
        <v>136</v>
      </c>
      <c r="U14" s="19" t="s">
        <v>191</v>
      </c>
      <c r="V14" s="19" t="s">
        <v>192</v>
      </c>
      <c r="W14" s="19" t="s">
        <v>261</v>
      </c>
      <c r="X14" s="20" t="s">
        <v>140</v>
      </c>
      <c r="Y14" s="19" t="s">
        <v>262</v>
      </c>
      <c r="Z14" s="19" t="s">
        <v>263</v>
      </c>
      <c r="AA14" s="19" t="s">
        <v>264</v>
      </c>
      <c r="AB14" s="19" t="s">
        <v>265</v>
      </c>
      <c r="AC14" s="20" t="n">
        <v>36</v>
      </c>
      <c r="AD14" s="21" t="n">
        <f aca="false">INDEX(Methods!$D$2:$D$11,MATCH(Q14,Methods!$A$2:$A$11,0))</f>
        <v>0</v>
      </c>
      <c r="AE14" s="22" t="s">
        <v>145</v>
      </c>
      <c r="AF14" s="22"/>
      <c r="AG14" s="22"/>
      <c r="AH14" s="23"/>
      <c r="AI14" s="24"/>
      <c r="AJ14" s="25"/>
      <c r="AK14" s="22"/>
      <c r="AL14" s="18" t="s">
        <v>198</v>
      </c>
    </row>
    <row r="15" customFormat="false" ht="29.25" hidden="false" customHeight="true" outlineLevel="0" collapsed="false">
      <c r="A15" s="17" t="n">
        <v>77</v>
      </c>
      <c r="B15" s="18" t="s">
        <v>253</v>
      </c>
      <c r="C15" s="18" t="s">
        <v>266</v>
      </c>
      <c r="D15" s="18" t="s">
        <v>123</v>
      </c>
      <c r="E15" s="18" t="s">
        <v>124</v>
      </c>
      <c r="F15" s="18" t="s">
        <v>125</v>
      </c>
      <c r="G15" s="18" t="s">
        <v>126</v>
      </c>
      <c r="H15" s="17" t="s">
        <v>127</v>
      </c>
      <c r="I15" s="18" t="s">
        <v>128</v>
      </c>
      <c r="J15" s="18" t="s">
        <v>129</v>
      </c>
      <c r="K15" s="17" t="s">
        <v>130</v>
      </c>
      <c r="L15" s="17" t="s">
        <v>130</v>
      </c>
      <c r="M15" s="19" t="s">
        <v>131</v>
      </c>
      <c r="N15" s="19" t="s">
        <v>267</v>
      </c>
      <c r="O15" s="19"/>
      <c r="P15" s="19" t="s">
        <v>133</v>
      </c>
      <c r="Q15" s="20" t="s">
        <v>134</v>
      </c>
      <c r="R15" s="20" t="s">
        <v>25</v>
      </c>
      <c r="S15" s="20" t="s">
        <v>135</v>
      </c>
      <c r="T15" s="20" t="s">
        <v>136</v>
      </c>
      <c r="U15" s="19" t="s">
        <v>137</v>
      </c>
      <c r="V15" s="19" t="s">
        <v>138</v>
      </c>
      <c r="W15" s="19" t="s">
        <v>268</v>
      </c>
      <c r="X15" s="20" t="s">
        <v>140</v>
      </c>
      <c r="Y15" s="19" t="s">
        <v>269</v>
      </c>
      <c r="Z15" s="19" t="s">
        <v>168</v>
      </c>
      <c r="AA15" s="19" t="s">
        <v>143</v>
      </c>
      <c r="AB15" s="19" t="s">
        <v>270</v>
      </c>
      <c r="AC15" s="20" t="n">
        <v>30</v>
      </c>
      <c r="AD15" s="21" t="n">
        <f aca="false">INDEX(Methods!$D$2:$D$11,MATCH(Q15,Methods!$A$2:$A$11,0))</f>
        <v>0</v>
      </c>
      <c r="AE15" s="22" t="s">
        <v>145</v>
      </c>
      <c r="AF15" s="22"/>
      <c r="AG15" s="22"/>
      <c r="AH15" s="23"/>
      <c r="AI15" s="24"/>
      <c r="AJ15" s="25"/>
      <c r="AK15" s="22"/>
      <c r="AL15" s="18" t="s">
        <v>146</v>
      </c>
    </row>
    <row r="16" customFormat="false" ht="29.25" hidden="false" customHeight="true" outlineLevel="0" collapsed="false">
      <c r="A16" s="17" t="n">
        <v>79</v>
      </c>
      <c r="B16" s="18" t="s">
        <v>253</v>
      </c>
      <c r="C16" s="18" t="s">
        <v>266</v>
      </c>
      <c r="D16" s="18" t="s">
        <v>162</v>
      </c>
      <c r="E16" s="18" t="s">
        <v>124</v>
      </c>
      <c r="F16" s="18" t="s">
        <v>125</v>
      </c>
      <c r="G16" s="18" t="s">
        <v>126</v>
      </c>
      <c r="H16" s="17" t="s">
        <v>127</v>
      </c>
      <c r="I16" s="18" t="s">
        <v>128</v>
      </c>
      <c r="J16" s="18" t="s">
        <v>129</v>
      </c>
      <c r="K16" s="17" t="s">
        <v>130</v>
      </c>
      <c r="L16" s="17" t="s">
        <v>130</v>
      </c>
      <c r="M16" s="19" t="s">
        <v>163</v>
      </c>
      <c r="N16" s="19" t="s">
        <v>164</v>
      </c>
      <c r="O16" s="19"/>
      <c r="P16" s="19" t="s">
        <v>152</v>
      </c>
      <c r="Q16" s="20" t="s">
        <v>134</v>
      </c>
      <c r="R16" s="20" t="s">
        <v>25</v>
      </c>
      <c r="S16" s="20" t="s">
        <v>135</v>
      </c>
      <c r="T16" s="20" t="s">
        <v>153</v>
      </c>
      <c r="U16" s="19" t="s">
        <v>154</v>
      </c>
      <c r="V16" s="19" t="s">
        <v>165</v>
      </c>
      <c r="W16" s="19" t="s">
        <v>271</v>
      </c>
      <c r="X16" s="20" t="s">
        <v>140</v>
      </c>
      <c r="Y16" s="19" t="s">
        <v>269</v>
      </c>
      <c r="Z16" s="19" t="s">
        <v>168</v>
      </c>
      <c r="AA16" s="19" t="s">
        <v>143</v>
      </c>
      <c r="AB16" s="19" t="s">
        <v>169</v>
      </c>
      <c r="AC16" s="20" t="n">
        <v>30</v>
      </c>
      <c r="AD16" s="21" t="n">
        <f aca="false">INDEX(Methods!$D$2:$D$11,MATCH(Q16,Methods!$A$2:$A$11,0))</f>
        <v>0</v>
      </c>
      <c r="AE16" s="22" t="s">
        <v>145</v>
      </c>
      <c r="AF16" s="22"/>
      <c r="AG16" s="22"/>
      <c r="AH16" s="23"/>
      <c r="AI16" s="24"/>
      <c r="AJ16" s="25"/>
      <c r="AK16" s="22"/>
      <c r="AL16" s="18" t="s">
        <v>170</v>
      </c>
    </row>
    <row r="17" customFormat="false" ht="29.25" hidden="false" customHeight="true" outlineLevel="0" collapsed="false">
      <c r="A17" s="17" t="n">
        <v>83</v>
      </c>
      <c r="B17" s="18" t="s">
        <v>253</v>
      </c>
      <c r="C17" s="18" t="s">
        <v>266</v>
      </c>
      <c r="D17" s="18" t="s">
        <v>272</v>
      </c>
      <c r="E17" s="18" t="s">
        <v>124</v>
      </c>
      <c r="F17" s="18" t="s">
        <v>172</v>
      </c>
      <c r="G17" s="18" t="s">
        <v>173</v>
      </c>
      <c r="H17" s="17" t="s">
        <v>127</v>
      </c>
      <c r="I17" s="18" t="s">
        <v>128</v>
      </c>
      <c r="J17" s="18" t="s">
        <v>129</v>
      </c>
      <c r="K17" s="17" t="s">
        <v>130</v>
      </c>
      <c r="L17" s="17" t="s">
        <v>130</v>
      </c>
      <c r="M17" s="19" t="s">
        <v>174</v>
      </c>
      <c r="N17" s="19" t="s">
        <v>273</v>
      </c>
      <c r="O17" s="19"/>
      <c r="P17" s="19" t="s">
        <v>176</v>
      </c>
      <c r="Q17" s="20" t="s">
        <v>177</v>
      </c>
      <c r="R17" s="20" t="s">
        <v>23</v>
      </c>
      <c r="S17" s="20" t="s">
        <v>136</v>
      </c>
      <c r="T17" s="20" t="s">
        <v>153</v>
      </c>
      <c r="U17" s="19" t="s">
        <v>274</v>
      </c>
      <c r="V17" s="19"/>
      <c r="W17" s="19" t="s">
        <v>275</v>
      </c>
      <c r="X17" s="20" t="s">
        <v>181</v>
      </c>
      <c r="Y17" s="19" t="s">
        <v>276</v>
      </c>
      <c r="Z17" s="19" t="s">
        <v>224</v>
      </c>
      <c r="AA17" s="19" t="s">
        <v>277</v>
      </c>
      <c r="AB17" s="19" t="s">
        <v>226</v>
      </c>
      <c r="AC17" s="20"/>
      <c r="AD17" s="21" t="n">
        <f aca="false">INDEX(Methods!$D$2:$D$11,MATCH(Q17,Methods!$A$2:$A$11,0))</f>
        <v>0</v>
      </c>
      <c r="AE17" s="22" t="s">
        <v>145</v>
      </c>
      <c r="AF17" s="22"/>
      <c r="AG17" s="22"/>
      <c r="AH17" s="23"/>
      <c r="AI17" s="24"/>
      <c r="AJ17" s="25"/>
      <c r="AK17" s="22"/>
      <c r="AL17" s="18" t="s">
        <v>278</v>
      </c>
    </row>
    <row r="18" customFormat="false" ht="67.5" hidden="false" customHeight="true" outlineLevel="0" collapsed="false">
      <c r="A18" s="17" t="n">
        <v>84</v>
      </c>
      <c r="B18" s="18" t="s">
        <v>253</v>
      </c>
      <c r="C18" s="18" t="s">
        <v>266</v>
      </c>
      <c r="D18" s="18" t="s">
        <v>279</v>
      </c>
      <c r="E18" s="18" t="s">
        <v>124</v>
      </c>
      <c r="F18" s="18" t="s">
        <v>125</v>
      </c>
      <c r="G18" s="18" t="s">
        <v>126</v>
      </c>
      <c r="H18" s="17" t="s">
        <v>127</v>
      </c>
      <c r="I18" s="18" t="s">
        <v>128</v>
      </c>
      <c r="J18" s="18" t="s">
        <v>129</v>
      </c>
      <c r="K18" s="17" t="s">
        <v>130</v>
      </c>
      <c r="L18" s="17" t="s">
        <v>130</v>
      </c>
      <c r="M18" s="19" t="s">
        <v>163</v>
      </c>
      <c r="N18" s="19" t="s">
        <v>280</v>
      </c>
      <c r="O18" s="19"/>
      <c r="P18" s="19"/>
      <c r="Q18" s="20" t="s">
        <v>134</v>
      </c>
      <c r="R18" s="20" t="s">
        <v>25</v>
      </c>
      <c r="S18" s="20" t="s">
        <v>135</v>
      </c>
      <c r="T18" s="20" t="s">
        <v>153</v>
      </c>
      <c r="U18" s="19" t="s">
        <v>154</v>
      </c>
      <c r="V18" s="19" t="s">
        <v>281</v>
      </c>
      <c r="W18" s="19" t="s">
        <v>282</v>
      </c>
      <c r="X18" s="20" t="s">
        <v>140</v>
      </c>
      <c r="Y18" s="19" t="s">
        <v>283</v>
      </c>
      <c r="Z18" s="19" t="s">
        <v>284</v>
      </c>
      <c r="AA18" s="19" t="s">
        <v>143</v>
      </c>
      <c r="AB18" s="19" t="s">
        <v>285</v>
      </c>
      <c r="AC18" s="20"/>
      <c r="AD18" s="21" t="n">
        <f aca="false">INDEX(Methods!$D$2:$D$11,MATCH(Q18,Methods!$A$2:$A$11,0))</f>
        <v>0</v>
      </c>
      <c r="AE18" s="22" t="s">
        <v>145</v>
      </c>
      <c r="AF18" s="22"/>
      <c r="AG18" s="22"/>
      <c r="AH18" s="23"/>
      <c r="AI18" s="24"/>
      <c r="AJ18" s="25"/>
      <c r="AK18" s="22"/>
      <c r="AL18" s="18" t="s">
        <v>286</v>
      </c>
    </row>
    <row r="19" customFormat="false" ht="42" hidden="false" customHeight="true" outlineLevel="0" collapsed="false">
      <c r="A19" s="17" t="n">
        <v>107</v>
      </c>
      <c r="B19" s="18" t="s">
        <v>287</v>
      </c>
      <c r="C19" s="18" t="s">
        <v>288</v>
      </c>
      <c r="D19" s="18" t="s">
        <v>289</v>
      </c>
      <c r="E19" s="18" t="s">
        <v>290</v>
      </c>
      <c r="F19" s="18" t="s">
        <v>172</v>
      </c>
      <c r="G19" s="18" t="s">
        <v>126</v>
      </c>
      <c r="H19" s="17" t="s">
        <v>127</v>
      </c>
      <c r="I19" s="18"/>
      <c r="J19" s="18" t="s">
        <v>291</v>
      </c>
      <c r="K19" s="17" t="s">
        <v>127</v>
      </c>
      <c r="L19" s="17" t="s">
        <v>127</v>
      </c>
      <c r="M19" s="19" t="s">
        <v>292</v>
      </c>
      <c r="N19" s="19" t="s">
        <v>293</v>
      </c>
      <c r="O19" s="19"/>
      <c r="P19" s="19"/>
      <c r="Q19" s="20" t="s">
        <v>294</v>
      </c>
      <c r="R19" s="20" t="s">
        <v>25</v>
      </c>
      <c r="S19" s="20" t="s">
        <v>135</v>
      </c>
      <c r="T19" s="20" t="s">
        <v>153</v>
      </c>
      <c r="U19" s="19" t="s">
        <v>274</v>
      </c>
      <c r="V19" s="19"/>
      <c r="W19" s="19" t="s">
        <v>295</v>
      </c>
      <c r="X19" s="20" t="s">
        <v>140</v>
      </c>
      <c r="Y19" s="19" t="s">
        <v>296</v>
      </c>
      <c r="Z19" s="19" t="s">
        <v>297</v>
      </c>
      <c r="AA19" s="19" t="s">
        <v>298</v>
      </c>
      <c r="AB19" s="19" t="s">
        <v>299</v>
      </c>
      <c r="AC19" s="20"/>
      <c r="AD19" s="21" t="n">
        <f aca="false">INDEX(Methods!$D$2:$D$11,MATCH(Q19,Methods!$A$2:$A$11,0))</f>
        <v>120</v>
      </c>
      <c r="AE19" s="22" t="s">
        <v>145</v>
      </c>
      <c r="AF19" s="22"/>
      <c r="AG19" s="22"/>
      <c r="AH19" s="23"/>
      <c r="AI19" s="24"/>
      <c r="AJ19" s="25"/>
      <c r="AK19" s="22"/>
      <c r="AL19" s="18" t="s">
        <v>300</v>
      </c>
    </row>
    <row r="20" customFormat="false" ht="42" hidden="false" customHeight="true" outlineLevel="0" collapsed="false">
      <c r="A20" s="17" t="n">
        <v>108</v>
      </c>
      <c r="B20" s="18" t="s">
        <v>287</v>
      </c>
      <c r="C20" s="18" t="s">
        <v>288</v>
      </c>
      <c r="D20" s="18" t="s">
        <v>301</v>
      </c>
      <c r="E20" s="18" t="s">
        <v>290</v>
      </c>
      <c r="F20" s="18" t="s">
        <v>172</v>
      </c>
      <c r="G20" s="18" t="s">
        <v>126</v>
      </c>
      <c r="H20" s="17" t="s">
        <v>127</v>
      </c>
      <c r="I20" s="18"/>
      <c r="J20" s="18" t="s">
        <v>291</v>
      </c>
      <c r="K20" s="17" t="s">
        <v>127</v>
      </c>
      <c r="L20" s="17" t="s">
        <v>127</v>
      </c>
      <c r="M20" s="19" t="s">
        <v>230</v>
      </c>
      <c r="N20" s="19" t="s">
        <v>302</v>
      </c>
      <c r="O20" s="19"/>
      <c r="P20" s="19" t="s">
        <v>303</v>
      </c>
      <c r="Q20" s="20" t="s">
        <v>294</v>
      </c>
      <c r="R20" s="20" t="s">
        <v>25</v>
      </c>
      <c r="S20" s="20" t="s">
        <v>135</v>
      </c>
      <c r="T20" s="20"/>
      <c r="U20" s="19" t="s">
        <v>274</v>
      </c>
      <c r="V20" s="19"/>
      <c r="W20" s="19" t="s">
        <v>304</v>
      </c>
      <c r="X20" s="20" t="s">
        <v>140</v>
      </c>
      <c r="Y20" s="19" t="s">
        <v>305</v>
      </c>
      <c r="Z20" s="19" t="s">
        <v>306</v>
      </c>
      <c r="AA20" s="19" t="s">
        <v>307</v>
      </c>
      <c r="AB20" s="19" t="s">
        <v>226</v>
      </c>
      <c r="AC20" s="20"/>
      <c r="AD20" s="21" t="n">
        <f aca="false">INDEX(Methods!$D$2:$D$11,MATCH(Q20,Methods!$A$2:$A$11,0))</f>
        <v>120</v>
      </c>
      <c r="AE20" s="22" t="s">
        <v>145</v>
      </c>
      <c r="AF20" s="22"/>
      <c r="AG20" s="22"/>
      <c r="AH20" s="23"/>
      <c r="AI20" s="24"/>
      <c r="AJ20" s="25"/>
      <c r="AK20" s="22"/>
      <c r="AL20" s="18" t="s">
        <v>308</v>
      </c>
    </row>
    <row r="21" customFormat="false" ht="42" hidden="false" customHeight="true" outlineLevel="0" collapsed="false">
      <c r="A21" s="17" t="n">
        <v>109</v>
      </c>
      <c r="B21" s="18" t="s">
        <v>287</v>
      </c>
      <c r="C21" s="18" t="s">
        <v>288</v>
      </c>
      <c r="D21" s="18" t="s">
        <v>309</v>
      </c>
      <c r="E21" s="18" t="s">
        <v>290</v>
      </c>
      <c r="F21" s="18" t="s">
        <v>125</v>
      </c>
      <c r="G21" s="18" t="s">
        <v>126</v>
      </c>
      <c r="H21" s="17" t="s">
        <v>127</v>
      </c>
      <c r="I21" s="18"/>
      <c r="J21" s="18" t="s">
        <v>291</v>
      </c>
      <c r="K21" s="17" t="s">
        <v>127</v>
      </c>
      <c r="L21" s="17" t="s">
        <v>127</v>
      </c>
      <c r="M21" s="19" t="s">
        <v>310</v>
      </c>
      <c r="N21" s="19" t="s">
        <v>311</v>
      </c>
      <c r="O21" s="19"/>
      <c r="P21" s="19"/>
      <c r="Q21" s="20" t="s">
        <v>294</v>
      </c>
      <c r="R21" s="20" t="s">
        <v>25</v>
      </c>
      <c r="S21" s="20" t="s">
        <v>153</v>
      </c>
      <c r="T21" s="20"/>
      <c r="U21" s="19" t="s">
        <v>274</v>
      </c>
      <c r="V21" s="19"/>
      <c r="W21" s="19" t="s">
        <v>312</v>
      </c>
      <c r="X21" s="20" t="s">
        <v>140</v>
      </c>
      <c r="Y21" s="19" t="s">
        <v>313</v>
      </c>
      <c r="Z21" s="19" t="s">
        <v>314</v>
      </c>
      <c r="AA21" s="19" t="s">
        <v>250</v>
      </c>
      <c r="AB21" s="19" t="s">
        <v>315</v>
      </c>
      <c r="AC21" s="20"/>
      <c r="AD21" s="21" t="n">
        <f aca="false">INDEX(Methods!$D$2:$D$11,MATCH(Q21,Methods!$A$2:$A$11,0))</f>
        <v>120</v>
      </c>
      <c r="AE21" s="22" t="s">
        <v>145</v>
      </c>
      <c r="AF21" s="22"/>
      <c r="AG21" s="22"/>
      <c r="AH21" s="23"/>
      <c r="AI21" s="24"/>
      <c r="AJ21" s="25"/>
      <c r="AK21" s="22"/>
      <c r="AL21" s="18" t="s">
        <v>316</v>
      </c>
    </row>
    <row r="22" customFormat="false" ht="42" hidden="false" customHeight="true" outlineLevel="0" collapsed="false">
      <c r="A22" s="17" t="n">
        <v>110</v>
      </c>
      <c r="B22" s="18" t="s">
        <v>287</v>
      </c>
      <c r="C22" s="18" t="s">
        <v>317</v>
      </c>
      <c r="D22" s="18" t="s">
        <v>318</v>
      </c>
      <c r="E22" s="18" t="s">
        <v>290</v>
      </c>
      <c r="F22" s="18" t="s">
        <v>172</v>
      </c>
      <c r="G22" s="18" t="s">
        <v>126</v>
      </c>
      <c r="H22" s="17" t="s">
        <v>127</v>
      </c>
      <c r="I22" s="18"/>
      <c r="J22" s="18" t="s">
        <v>291</v>
      </c>
      <c r="K22" s="17" t="s">
        <v>127</v>
      </c>
      <c r="L22" s="17" t="s">
        <v>127</v>
      </c>
      <c r="M22" s="19" t="s">
        <v>174</v>
      </c>
      <c r="N22" s="19" t="s">
        <v>319</v>
      </c>
      <c r="O22" s="19"/>
      <c r="P22" s="19"/>
      <c r="Q22" s="20" t="s">
        <v>320</v>
      </c>
      <c r="R22" s="20" t="s">
        <v>29</v>
      </c>
      <c r="S22" s="20" t="s">
        <v>153</v>
      </c>
      <c r="T22" s="20" t="s">
        <v>153</v>
      </c>
      <c r="U22" s="19" t="s">
        <v>274</v>
      </c>
      <c r="V22" s="19"/>
      <c r="W22" s="19" t="s">
        <v>321</v>
      </c>
      <c r="X22" s="20" t="s">
        <v>127</v>
      </c>
      <c r="Y22" s="19" t="s">
        <v>322</v>
      </c>
      <c r="Z22" s="19" t="s">
        <v>323</v>
      </c>
      <c r="AA22" s="19" t="s">
        <v>324</v>
      </c>
      <c r="AB22" s="19" t="s">
        <v>325</v>
      </c>
      <c r="AC22" s="20"/>
      <c r="AD22" s="21" t="n">
        <f aca="false">INDEX(Methods!$D$2:$D$11,MATCH(Q22,Methods!$A$2:$A$11,0))</f>
        <v>60</v>
      </c>
      <c r="AE22" s="22" t="s">
        <v>145</v>
      </c>
      <c r="AF22" s="22"/>
      <c r="AG22" s="22"/>
      <c r="AH22" s="23"/>
      <c r="AI22" s="24"/>
      <c r="AJ22" s="25"/>
      <c r="AK22" s="22"/>
      <c r="AL22" s="18" t="s">
        <v>326</v>
      </c>
    </row>
    <row r="23" customFormat="false" ht="54.75" hidden="false" customHeight="true" outlineLevel="0" collapsed="false">
      <c r="A23" s="17" t="n">
        <v>111</v>
      </c>
      <c r="B23" s="18" t="s">
        <v>287</v>
      </c>
      <c r="C23" s="18" t="s">
        <v>327</v>
      </c>
      <c r="D23" s="18" t="s">
        <v>328</v>
      </c>
      <c r="E23" s="18" t="s">
        <v>290</v>
      </c>
      <c r="F23" s="18" t="s">
        <v>172</v>
      </c>
      <c r="G23" s="18" t="s">
        <v>126</v>
      </c>
      <c r="H23" s="17" t="s">
        <v>127</v>
      </c>
      <c r="I23" s="18"/>
      <c r="J23" s="18" t="s">
        <v>291</v>
      </c>
      <c r="K23" s="17" t="s">
        <v>127</v>
      </c>
      <c r="L23" s="17" t="s">
        <v>127</v>
      </c>
      <c r="M23" s="19" t="s">
        <v>230</v>
      </c>
      <c r="N23" s="19" t="s">
        <v>329</v>
      </c>
      <c r="O23" s="19"/>
      <c r="P23" s="19"/>
      <c r="Q23" s="20" t="s">
        <v>320</v>
      </c>
      <c r="R23" s="20" t="s">
        <v>27</v>
      </c>
      <c r="S23" s="20" t="s">
        <v>153</v>
      </c>
      <c r="T23" s="20" t="s">
        <v>153</v>
      </c>
      <c r="U23" s="19" t="s">
        <v>274</v>
      </c>
      <c r="V23" s="19"/>
      <c r="W23" s="19" t="s">
        <v>330</v>
      </c>
      <c r="X23" s="20" t="s">
        <v>140</v>
      </c>
      <c r="Y23" s="19" t="s">
        <v>331</v>
      </c>
      <c r="Z23" s="19" t="s">
        <v>332</v>
      </c>
      <c r="AA23" s="19" t="s">
        <v>333</v>
      </c>
      <c r="AB23" s="19" t="s">
        <v>325</v>
      </c>
      <c r="AC23" s="20"/>
      <c r="AD23" s="21" t="n">
        <f aca="false">INDEX(Methods!$D$2:$D$11,MATCH(Q23,Methods!$A$2:$A$11,0))</f>
        <v>60</v>
      </c>
      <c r="AE23" s="22" t="s">
        <v>145</v>
      </c>
      <c r="AF23" s="22"/>
      <c r="AG23" s="22"/>
      <c r="AH23" s="23"/>
      <c r="AI23" s="24"/>
      <c r="AJ23" s="25"/>
      <c r="AK23" s="22"/>
      <c r="AL23" s="18" t="s">
        <v>334</v>
      </c>
    </row>
    <row r="24" customFormat="false" ht="42" hidden="false" customHeight="true" outlineLevel="0" collapsed="false">
      <c r="A24" s="17" t="n">
        <v>123</v>
      </c>
      <c r="B24" s="18" t="s">
        <v>335</v>
      </c>
      <c r="C24" s="18" t="s">
        <v>336</v>
      </c>
      <c r="D24" s="18" t="s">
        <v>337</v>
      </c>
      <c r="E24" s="18" t="s">
        <v>338</v>
      </c>
      <c r="F24" s="18" t="s">
        <v>172</v>
      </c>
      <c r="G24" s="18" t="s">
        <v>173</v>
      </c>
      <c r="H24" s="17" t="s">
        <v>127</v>
      </c>
      <c r="I24" s="18"/>
      <c r="J24" s="18" t="s">
        <v>291</v>
      </c>
      <c r="K24" s="17" t="s">
        <v>127</v>
      </c>
      <c r="L24" s="17" t="s">
        <v>130</v>
      </c>
      <c r="M24" s="19" t="s">
        <v>310</v>
      </c>
      <c r="N24" s="19" t="s">
        <v>339</v>
      </c>
      <c r="O24" s="19"/>
      <c r="P24" s="19"/>
      <c r="Q24" s="20" t="s">
        <v>340</v>
      </c>
      <c r="R24" s="20" t="s">
        <v>23</v>
      </c>
      <c r="S24" s="20" t="s">
        <v>135</v>
      </c>
      <c r="T24" s="20" t="s">
        <v>136</v>
      </c>
      <c r="U24" s="19" t="s">
        <v>341</v>
      </c>
      <c r="V24" s="19" t="s">
        <v>342</v>
      </c>
      <c r="W24" s="19" t="s">
        <v>343</v>
      </c>
      <c r="X24" s="20" t="s">
        <v>140</v>
      </c>
      <c r="Y24" s="19" t="s">
        <v>344</v>
      </c>
      <c r="Z24" s="19" t="s">
        <v>345</v>
      </c>
      <c r="AA24" s="19" t="s">
        <v>346</v>
      </c>
      <c r="AB24" s="19" t="s">
        <v>347</v>
      </c>
      <c r="AC24" s="20"/>
      <c r="AD24" s="21" t="n">
        <f aca="false">INDEX(Methods!$D$2:$D$11,MATCH(Q24,Methods!$A$2:$A$11,0))</f>
        <v>0</v>
      </c>
      <c r="AE24" s="22" t="s">
        <v>145</v>
      </c>
      <c r="AF24" s="22"/>
      <c r="AG24" s="22"/>
      <c r="AH24" s="23"/>
      <c r="AI24" s="24"/>
      <c r="AJ24" s="25"/>
      <c r="AK24" s="22"/>
      <c r="AL24" s="18" t="s">
        <v>348</v>
      </c>
    </row>
    <row r="25" customFormat="false" ht="54.75" hidden="false" customHeight="true" outlineLevel="0" collapsed="false">
      <c r="A25" s="17" t="n">
        <v>125</v>
      </c>
      <c r="B25" s="18" t="s">
        <v>335</v>
      </c>
      <c r="C25" s="18" t="s">
        <v>336</v>
      </c>
      <c r="D25" s="18" t="s">
        <v>349</v>
      </c>
      <c r="E25" s="18" t="s">
        <v>338</v>
      </c>
      <c r="F25" s="18" t="s">
        <v>172</v>
      </c>
      <c r="G25" s="18" t="s">
        <v>173</v>
      </c>
      <c r="H25" s="17" t="s">
        <v>127</v>
      </c>
      <c r="I25" s="18"/>
      <c r="J25" s="18" t="s">
        <v>291</v>
      </c>
      <c r="K25" s="17" t="s">
        <v>127</v>
      </c>
      <c r="L25" s="17" t="s">
        <v>130</v>
      </c>
      <c r="M25" s="19" t="s">
        <v>230</v>
      </c>
      <c r="N25" s="19" t="s">
        <v>350</v>
      </c>
      <c r="O25" s="19"/>
      <c r="P25" s="19"/>
      <c r="Q25" s="20" t="s">
        <v>177</v>
      </c>
      <c r="R25" s="20" t="s">
        <v>23</v>
      </c>
      <c r="S25" s="20" t="s">
        <v>135</v>
      </c>
      <c r="T25" s="20" t="s">
        <v>153</v>
      </c>
      <c r="U25" s="19" t="s">
        <v>274</v>
      </c>
      <c r="V25" s="19"/>
      <c r="W25" s="19" t="s">
        <v>351</v>
      </c>
      <c r="X25" s="20" t="s">
        <v>181</v>
      </c>
      <c r="Y25" s="19" t="s">
        <v>352</v>
      </c>
      <c r="Z25" s="19" t="s">
        <v>353</v>
      </c>
      <c r="AA25" s="19" t="s">
        <v>354</v>
      </c>
      <c r="AB25" s="19" t="s">
        <v>355</v>
      </c>
      <c r="AC25" s="20"/>
      <c r="AD25" s="21" t="n">
        <f aca="false">INDEX(Methods!$D$2:$D$11,MATCH(Q25,Methods!$A$2:$A$11,0))</f>
        <v>0</v>
      </c>
      <c r="AE25" s="22" t="s">
        <v>145</v>
      </c>
      <c r="AF25" s="22"/>
      <c r="AG25" s="22"/>
      <c r="AH25" s="23"/>
      <c r="AI25" s="24"/>
      <c r="AJ25" s="25"/>
      <c r="AK25" s="22"/>
      <c r="AL25" s="18" t="s">
        <v>356</v>
      </c>
    </row>
    <row r="26" customFormat="false" ht="42" hidden="false" customHeight="true" outlineLevel="0" collapsed="false">
      <c r="A26" s="17" t="n">
        <v>127</v>
      </c>
      <c r="B26" s="18" t="s">
        <v>335</v>
      </c>
      <c r="C26" s="18" t="s">
        <v>336</v>
      </c>
      <c r="D26" s="18" t="s">
        <v>357</v>
      </c>
      <c r="E26" s="18" t="s">
        <v>338</v>
      </c>
      <c r="F26" s="18" t="s">
        <v>172</v>
      </c>
      <c r="G26" s="18" t="s">
        <v>173</v>
      </c>
      <c r="H26" s="17" t="s">
        <v>127</v>
      </c>
      <c r="I26" s="18"/>
      <c r="J26" s="18" t="s">
        <v>291</v>
      </c>
      <c r="K26" s="17" t="s">
        <v>127</v>
      </c>
      <c r="L26" s="17" t="s">
        <v>130</v>
      </c>
      <c r="M26" s="19" t="s">
        <v>358</v>
      </c>
      <c r="N26" s="19" t="s">
        <v>359</v>
      </c>
      <c r="O26" s="19"/>
      <c r="P26" s="19"/>
      <c r="Q26" s="20" t="s">
        <v>340</v>
      </c>
      <c r="R26" s="20" t="s">
        <v>25</v>
      </c>
      <c r="S26" s="20" t="s">
        <v>135</v>
      </c>
      <c r="T26" s="20" t="s">
        <v>136</v>
      </c>
      <c r="U26" s="19" t="s">
        <v>341</v>
      </c>
      <c r="V26" s="19" t="s">
        <v>360</v>
      </c>
      <c r="W26" s="19" t="s">
        <v>361</v>
      </c>
      <c r="X26" s="20" t="s">
        <v>140</v>
      </c>
      <c r="Y26" s="19" t="s">
        <v>362</v>
      </c>
      <c r="Z26" s="19" t="s">
        <v>363</v>
      </c>
      <c r="AA26" s="19" t="s">
        <v>250</v>
      </c>
      <c r="AB26" s="19" t="s">
        <v>364</v>
      </c>
      <c r="AC26" s="20"/>
      <c r="AD26" s="21" t="n">
        <f aca="false">INDEX(Methods!$D$2:$D$11,MATCH(Q26,Methods!$A$2:$A$11,0))</f>
        <v>0</v>
      </c>
      <c r="AE26" s="22" t="s">
        <v>145</v>
      </c>
      <c r="AF26" s="22"/>
      <c r="AG26" s="22"/>
      <c r="AH26" s="23"/>
      <c r="AI26" s="24"/>
      <c r="AJ26" s="25"/>
      <c r="AK26" s="22"/>
      <c r="AL26" s="18" t="s">
        <v>365</v>
      </c>
    </row>
    <row r="27" customFormat="false" ht="42" hidden="false" customHeight="true" outlineLevel="0" collapsed="false">
      <c r="A27" s="17" t="n">
        <v>128</v>
      </c>
      <c r="B27" s="18" t="s">
        <v>335</v>
      </c>
      <c r="C27" s="18" t="s">
        <v>336</v>
      </c>
      <c r="D27" s="18" t="s">
        <v>366</v>
      </c>
      <c r="E27" s="18" t="s">
        <v>338</v>
      </c>
      <c r="F27" s="18" t="s">
        <v>172</v>
      </c>
      <c r="G27" s="18" t="s">
        <v>173</v>
      </c>
      <c r="H27" s="17" t="s">
        <v>127</v>
      </c>
      <c r="I27" s="18"/>
      <c r="J27" s="18" t="s">
        <v>291</v>
      </c>
      <c r="K27" s="17" t="s">
        <v>127</v>
      </c>
      <c r="L27" s="17" t="s">
        <v>130</v>
      </c>
      <c r="M27" s="19" t="s">
        <v>174</v>
      </c>
      <c r="N27" s="19" t="s">
        <v>367</v>
      </c>
      <c r="O27" s="19"/>
      <c r="P27" s="19" t="s">
        <v>368</v>
      </c>
      <c r="Q27" s="20" t="s">
        <v>177</v>
      </c>
      <c r="R27" s="20" t="s">
        <v>23</v>
      </c>
      <c r="S27" s="20" t="s">
        <v>136</v>
      </c>
      <c r="T27" s="20" t="s">
        <v>153</v>
      </c>
      <c r="U27" s="19" t="s">
        <v>274</v>
      </c>
      <c r="V27" s="19"/>
      <c r="W27" s="19" t="s">
        <v>369</v>
      </c>
      <c r="X27" s="20" t="s">
        <v>181</v>
      </c>
      <c r="Y27" s="19" t="s">
        <v>370</v>
      </c>
      <c r="Z27" s="19" t="s">
        <v>224</v>
      </c>
      <c r="AA27" s="19" t="s">
        <v>371</v>
      </c>
      <c r="AB27" s="19" t="s">
        <v>372</v>
      </c>
      <c r="AC27" s="20"/>
      <c r="AD27" s="21" t="n">
        <f aca="false">INDEX(Methods!$D$2:$D$11,MATCH(Q27,Methods!$A$2:$A$11,0))</f>
        <v>0</v>
      </c>
      <c r="AE27" s="22" t="s">
        <v>145</v>
      </c>
      <c r="AF27" s="22"/>
      <c r="AG27" s="22"/>
      <c r="AH27" s="23"/>
      <c r="AI27" s="24"/>
      <c r="AJ27" s="25"/>
      <c r="AK27" s="22"/>
      <c r="AL27" s="18" t="s">
        <v>373</v>
      </c>
    </row>
    <row r="28" customFormat="false" ht="42" hidden="false" customHeight="true" outlineLevel="0" collapsed="false">
      <c r="A28" s="17" t="n">
        <v>171</v>
      </c>
      <c r="B28" s="18" t="s">
        <v>374</v>
      </c>
      <c r="C28" s="18" t="s">
        <v>375</v>
      </c>
      <c r="D28" s="18" t="s">
        <v>376</v>
      </c>
      <c r="E28" s="18" t="s">
        <v>377</v>
      </c>
      <c r="F28" s="18" t="s">
        <v>172</v>
      </c>
      <c r="G28" s="18" t="s">
        <v>173</v>
      </c>
      <c r="H28" s="17" t="s">
        <v>127</v>
      </c>
      <c r="I28" s="18"/>
      <c r="J28" s="18" t="s">
        <v>291</v>
      </c>
      <c r="K28" s="17" t="s">
        <v>127</v>
      </c>
      <c r="L28" s="17" t="s">
        <v>130</v>
      </c>
      <c r="M28" s="19" t="s">
        <v>292</v>
      </c>
      <c r="N28" s="19" t="s">
        <v>378</v>
      </c>
      <c r="O28" s="19"/>
      <c r="P28" s="19"/>
      <c r="Q28" s="20" t="s">
        <v>379</v>
      </c>
      <c r="R28" s="20" t="s">
        <v>25</v>
      </c>
      <c r="S28" s="20" t="s">
        <v>135</v>
      </c>
      <c r="T28" s="20" t="s">
        <v>153</v>
      </c>
      <c r="U28" s="19" t="s">
        <v>274</v>
      </c>
      <c r="V28" s="19"/>
      <c r="W28" s="19" t="s">
        <v>380</v>
      </c>
      <c r="X28" s="20" t="s">
        <v>140</v>
      </c>
      <c r="Y28" s="19" t="s">
        <v>381</v>
      </c>
      <c r="Z28" s="19" t="s">
        <v>382</v>
      </c>
      <c r="AA28" s="19" t="s">
        <v>383</v>
      </c>
      <c r="AB28" s="19" t="s">
        <v>384</v>
      </c>
      <c r="AC28" s="20"/>
      <c r="AD28" s="21" t="n">
        <f aca="false">INDEX(Methods!$D$2:$D$11,MATCH(Q28,Methods!$A$2:$A$11,0))</f>
        <v>30</v>
      </c>
      <c r="AE28" s="22" t="s">
        <v>145</v>
      </c>
      <c r="AF28" s="22"/>
      <c r="AG28" s="22"/>
      <c r="AH28" s="23"/>
      <c r="AI28" s="24"/>
      <c r="AJ28" s="25"/>
      <c r="AK28" s="22"/>
      <c r="AL28" s="18" t="s">
        <v>385</v>
      </c>
    </row>
    <row r="29" customFormat="false" ht="42" hidden="false" customHeight="true" outlineLevel="0" collapsed="false">
      <c r="A29" s="17" t="n">
        <v>172</v>
      </c>
      <c r="B29" s="18" t="s">
        <v>374</v>
      </c>
      <c r="C29" s="18" t="s">
        <v>375</v>
      </c>
      <c r="D29" s="18" t="s">
        <v>386</v>
      </c>
      <c r="E29" s="18" t="s">
        <v>377</v>
      </c>
      <c r="F29" s="18" t="s">
        <v>172</v>
      </c>
      <c r="G29" s="18" t="s">
        <v>173</v>
      </c>
      <c r="H29" s="17" t="s">
        <v>127</v>
      </c>
      <c r="I29" s="18"/>
      <c r="J29" s="18" t="s">
        <v>291</v>
      </c>
      <c r="K29" s="17" t="s">
        <v>127</v>
      </c>
      <c r="L29" s="17" t="s">
        <v>130</v>
      </c>
      <c r="M29" s="19" t="s">
        <v>230</v>
      </c>
      <c r="N29" s="19" t="s">
        <v>387</v>
      </c>
      <c r="O29" s="19"/>
      <c r="P29" s="19"/>
      <c r="Q29" s="20" t="s">
        <v>177</v>
      </c>
      <c r="R29" s="20" t="s">
        <v>25</v>
      </c>
      <c r="S29" s="20" t="s">
        <v>135</v>
      </c>
      <c r="T29" s="20" t="s">
        <v>153</v>
      </c>
      <c r="U29" s="19" t="s">
        <v>178</v>
      </c>
      <c r="V29" s="19" t="s">
        <v>388</v>
      </c>
      <c r="W29" s="19" t="s">
        <v>389</v>
      </c>
      <c r="X29" s="20" t="s">
        <v>181</v>
      </c>
      <c r="Y29" s="19" t="s">
        <v>390</v>
      </c>
      <c r="Z29" s="19" t="s">
        <v>391</v>
      </c>
      <c r="AA29" s="19" t="s">
        <v>392</v>
      </c>
      <c r="AB29" s="19" t="s">
        <v>393</v>
      </c>
      <c r="AC29" s="20"/>
      <c r="AD29" s="21" t="n">
        <f aca="false">INDEX(Methods!$D$2:$D$11,MATCH(Q29,Methods!$A$2:$A$11,0))</f>
        <v>0</v>
      </c>
      <c r="AE29" s="22" t="s">
        <v>145</v>
      </c>
      <c r="AF29" s="22"/>
      <c r="AG29" s="22"/>
      <c r="AH29" s="23"/>
      <c r="AI29" s="24"/>
      <c r="AJ29" s="25"/>
      <c r="AK29" s="22"/>
      <c r="AL29" s="18" t="s">
        <v>394</v>
      </c>
    </row>
    <row r="30" customFormat="false" ht="42" hidden="false" customHeight="true" outlineLevel="0" collapsed="false">
      <c r="A30" s="17" t="n">
        <v>176</v>
      </c>
      <c r="B30" s="18" t="s">
        <v>374</v>
      </c>
      <c r="C30" s="18" t="s">
        <v>375</v>
      </c>
      <c r="D30" s="18" t="s">
        <v>395</v>
      </c>
      <c r="E30" s="18" t="s">
        <v>377</v>
      </c>
      <c r="F30" s="18" t="s">
        <v>172</v>
      </c>
      <c r="G30" s="18" t="s">
        <v>173</v>
      </c>
      <c r="H30" s="17" t="s">
        <v>127</v>
      </c>
      <c r="I30" s="18"/>
      <c r="J30" s="18" t="s">
        <v>291</v>
      </c>
      <c r="K30" s="17" t="s">
        <v>127</v>
      </c>
      <c r="L30" s="17" t="s">
        <v>130</v>
      </c>
      <c r="M30" s="19" t="s">
        <v>396</v>
      </c>
      <c r="N30" s="19" t="s">
        <v>397</v>
      </c>
      <c r="O30" s="19"/>
      <c r="P30" s="19"/>
      <c r="Q30" s="20" t="s">
        <v>379</v>
      </c>
      <c r="R30" s="20" t="s">
        <v>25</v>
      </c>
      <c r="S30" s="20" t="s">
        <v>153</v>
      </c>
      <c r="T30" s="20" t="s">
        <v>136</v>
      </c>
      <c r="U30" s="19" t="s">
        <v>341</v>
      </c>
      <c r="V30" s="19" t="s">
        <v>398</v>
      </c>
      <c r="W30" s="19" t="s">
        <v>399</v>
      </c>
      <c r="X30" s="20" t="s">
        <v>140</v>
      </c>
      <c r="Y30" s="19" t="s">
        <v>400</v>
      </c>
      <c r="Z30" s="19" t="s">
        <v>401</v>
      </c>
      <c r="AA30" s="19" t="s">
        <v>402</v>
      </c>
      <c r="AB30" s="19" t="s">
        <v>403</v>
      </c>
      <c r="AC30" s="20"/>
      <c r="AD30" s="21" t="n">
        <f aca="false">INDEX(Methods!$D$2:$D$11,MATCH(Q30,Methods!$A$2:$A$11,0))</f>
        <v>30</v>
      </c>
      <c r="AE30" s="22" t="s">
        <v>145</v>
      </c>
      <c r="AF30" s="22"/>
      <c r="AG30" s="22"/>
      <c r="AH30" s="23"/>
      <c r="AI30" s="24"/>
      <c r="AJ30" s="25"/>
      <c r="AK30" s="22"/>
      <c r="AL30" s="18" t="s">
        <v>404</v>
      </c>
    </row>
    <row r="31" customFormat="false" ht="42" hidden="false" customHeight="true" outlineLevel="0" collapsed="false">
      <c r="A31" s="17" t="n">
        <v>186</v>
      </c>
      <c r="B31" s="18" t="s">
        <v>405</v>
      </c>
      <c r="C31" s="18" t="s">
        <v>406</v>
      </c>
      <c r="D31" s="18" t="s">
        <v>407</v>
      </c>
      <c r="E31" s="18" t="s">
        <v>408</v>
      </c>
      <c r="F31" s="18" t="s">
        <v>172</v>
      </c>
      <c r="G31" s="18" t="s">
        <v>126</v>
      </c>
      <c r="H31" s="17" t="s">
        <v>127</v>
      </c>
      <c r="I31" s="18"/>
      <c r="J31" s="18" t="s">
        <v>291</v>
      </c>
      <c r="K31" s="17" t="s">
        <v>127</v>
      </c>
      <c r="L31" s="17" t="s">
        <v>127</v>
      </c>
      <c r="M31" s="19" t="s">
        <v>230</v>
      </c>
      <c r="N31" s="19" t="s">
        <v>409</v>
      </c>
      <c r="O31" s="19"/>
      <c r="P31" s="19"/>
      <c r="Q31" s="20" t="s">
        <v>177</v>
      </c>
      <c r="R31" s="20" t="s">
        <v>23</v>
      </c>
      <c r="S31" s="20" t="s">
        <v>135</v>
      </c>
      <c r="T31" s="20" t="s">
        <v>136</v>
      </c>
      <c r="U31" s="19" t="s">
        <v>341</v>
      </c>
      <c r="V31" s="19" t="s">
        <v>410</v>
      </c>
      <c r="W31" s="19" t="s">
        <v>411</v>
      </c>
      <c r="X31" s="20" t="s">
        <v>181</v>
      </c>
      <c r="Y31" s="19" t="s">
        <v>412</v>
      </c>
      <c r="Z31" s="19" t="s">
        <v>413</v>
      </c>
      <c r="AA31" s="19" t="s">
        <v>414</v>
      </c>
      <c r="AB31" s="19" t="s">
        <v>415</v>
      </c>
      <c r="AC31" s="20" t="n">
        <v>125</v>
      </c>
      <c r="AD31" s="21" t="n">
        <f aca="false">INDEX(Methods!$D$2:$D$11,MATCH(Q31,Methods!$A$2:$A$11,0))</f>
        <v>0</v>
      </c>
      <c r="AE31" s="22" t="s">
        <v>145</v>
      </c>
      <c r="AF31" s="22"/>
      <c r="AG31" s="22"/>
      <c r="AH31" s="23"/>
      <c r="AI31" s="24"/>
      <c r="AJ31" s="25"/>
      <c r="AK31" s="22"/>
      <c r="AL31" s="18" t="s">
        <v>416</v>
      </c>
    </row>
    <row r="32" customFormat="false" ht="67.5" hidden="false" customHeight="true" outlineLevel="0" collapsed="false">
      <c r="A32" s="17" t="n">
        <v>199</v>
      </c>
      <c r="B32" s="18" t="s">
        <v>417</v>
      </c>
      <c r="C32" s="18" t="s">
        <v>418</v>
      </c>
      <c r="D32" s="18" t="s">
        <v>419</v>
      </c>
      <c r="E32" s="18" t="s">
        <v>420</v>
      </c>
      <c r="F32" s="18" t="s">
        <v>125</v>
      </c>
      <c r="G32" s="18" t="s">
        <v>126</v>
      </c>
      <c r="H32" s="17" t="s">
        <v>130</v>
      </c>
      <c r="I32" s="18" t="s">
        <v>128</v>
      </c>
      <c r="J32" s="18" t="s">
        <v>129</v>
      </c>
      <c r="K32" s="17" t="s">
        <v>130</v>
      </c>
      <c r="L32" s="17" t="s">
        <v>130</v>
      </c>
      <c r="M32" s="19" t="s">
        <v>241</v>
      </c>
      <c r="N32" s="19" t="s">
        <v>421</v>
      </c>
      <c r="O32" s="19" t="s">
        <v>422</v>
      </c>
      <c r="P32" s="19" t="s">
        <v>422</v>
      </c>
      <c r="Q32" s="20" t="s">
        <v>244</v>
      </c>
      <c r="R32" s="20" t="s">
        <v>27</v>
      </c>
      <c r="S32" s="20" t="s">
        <v>136</v>
      </c>
      <c r="T32" s="20" t="s">
        <v>153</v>
      </c>
      <c r="U32" s="19" t="s">
        <v>423</v>
      </c>
      <c r="V32" s="19" t="s">
        <v>424</v>
      </c>
      <c r="W32" s="19" t="s">
        <v>425</v>
      </c>
      <c r="X32" s="20" t="s">
        <v>127</v>
      </c>
      <c r="Y32" s="19" t="s">
        <v>426</v>
      </c>
      <c r="Z32" s="19" t="s">
        <v>427</v>
      </c>
      <c r="AA32" s="19" t="s">
        <v>428</v>
      </c>
      <c r="AB32" s="19" t="s">
        <v>429</v>
      </c>
      <c r="AC32" s="20"/>
      <c r="AD32" s="21" t="n">
        <f aca="false">INDEX(Methods!$D$2:$D$11,MATCH(Q32,Methods!$A$2:$A$11,0))</f>
        <v>10</v>
      </c>
      <c r="AE32" s="22" t="s">
        <v>145</v>
      </c>
      <c r="AF32" s="22"/>
      <c r="AG32" s="22"/>
      <c r="AH32" s="23"/>
      <c r="AI32" s="24"/>
      <c r="AJ32" s="25"/>
      <c r="AK32" s="22"/>
      <c r="AL32" s="18" t="s">
        <v>430</v>
      </c>
    </row>
    <row r="33" customFormat="false" ht="54.75" hidden="false" customHeight="true" outlineLevel="0" collapsed="false">
      <c r="A33" s="17" t="n">
        <v>206</v>
      </c>
      <c r="B33" s="18" t="s">
        <v>417</v>
      </c>
      <c r="C33" s="18" t="s">
        <v>431</v>
      </c>
      <c r="D33" s="18" t="s">
        <v>432</v>
      </c>
      <c r="E33" s="18" t="s">
        <v>420</v>
      </c>
      <c r="F33" s="18" t="s">
        <v>172</v>
      </c>
      <c r="G33" s="18" t="s">
        <v>173</v>
      </c>
      <c r="H33" s="17" t="s">
        <v>127</v>
      </c>
      <c r="I33" s="18" t="s">
        <v>128</v>
      </c>
      <c r="J33" s="18" t="s">
        <v>129</v>
      </c>
      <c r="K33" s="17" t="s">
        <v>130</v>
      </c>
      <c r="L33" s="17" t="s">
        <v>130</v>
      </c>
      <c r="M33" s="19" t="s">
        <v>433</v>
      </c>
      <c r="N33" s="19" t="s">
        <v>434</v>
      </c>
      <c r="O33" s="19"/>
      <c r="P33" s="19"/>
      <c r="Q33" s="20" t="s">
        <v>435</v>
      </c>
      <c r="R33" s="20" t="s">
        <v>25</v>
      </c>
      <c r="S33" s="20" t="s">
        <v>135</v>
      </c>
      <c r="T33" s="20" t="s">
        <v>153</v>
      </c>
      <c r="U33" s="19" t="s">
        <v>154</v>
      </c>
      <c r="V33" s="19" t="s">
        <v>436</v>
      </c>
      <c r="W33" s="19" t="s">
        <v>437</v>
      </c>
      <c r="X33" s="20" t="s">
        <v>127</v>
      </c>
      <c r="Y33" s="19" t="s">
        <v>438</v>
      </c>
      <c r="Z33" s="19" t="s">
        <v>439</v>
      </c>
      <c r="AA33" s="19" t="s">
        <v>440</v>
      </c>
      <c r="AB33" s="19" t="s">
        <v>441</v>
      </c>
      <c r="AC33" s="20"/>
      <c r="AD33" s="21" t="n">
        <f aca="false">INDEX(Methods!$D$2:$D$11,MATCH(Q33,Methods!$A$2:$A$11,0))</f>
        <v>20</v>
      </c>
      <c r="AE33" s="22" t="s">
        <v>145</v>
      </c>
      <c r="AF33" s="22"/>
      <c r="AG33" s="22"/>
      <c r="AH33" s="23"/>
      <c r="AI33" s="24"/>
      <c r="AJ33" s="25"/>
      <c r="AK33" s="22"/>
      <c r="AL33" s="18" t="s">
        <v>442</v>
      </c>
    </row>
    <row r="34" customFormat="false" ht="54.75" hidden="false" customHeight="true" outlineLevel="0" collapsed="false">
      <c r="A34" s="17" t="n">
        <v>207</v>
      </c>
      <c r="B34" s="18" t="s">
        <v>417</v>
      </c>
      <c r="C34" s="18" t="s">
        <v>443</v>
      </c>
      <c r="D34" s="18" t="s">
        <v>444</v>
      </c>
      <c r="E34" s="18" t="s">
        <v>420</v>
      </c>
      <c r="F34" s="18" t="s">
        <v>125</v>
      </c>
      <c r="G34" s="18" t="s">
        <v>126</v>
      </c>
      <c r="H34" s="17" t="s">
        <v>130</v>
      </c>
      <c r="I34" s="18" t="s">
        <v>128</v>
      </c>
      <c r="J34" s="18" t="s">
        <v>129</v>
      </c>
      <c r="K34" s="17" t="s">
        <v>130</v>
      </c>
      <c r="L34" s="17" t="s">
        <v>130</v>
      </c>
      <c r="M34" s="19" t="s">
        <v>149</v>
      </c>
      <c r="N34" s="19" t="s">
        <v>445</v>
      </c>
      <c r="O34" s="19" t="s">
        <v>446</v>
      </c>
      <c r="P34" s="19"/>
      <c r="Q34" s="20" t="s">
        <v>447</v>
      </c>
      <c r="R34" s="20" t="s">
        <v>23</v>
      </c>
      <c r="S34" s="20" t="s">
        <v>136</v>
      </c>
      <c r="T34" s="20" t="s">
        <v>136</v>
      </c>
      <c r="U34" s="19" t="s">
        <v>137</v>
      </c>
      <c r="V34" s="19" t="s">
        <v>448</v>
      </c>
      <c r="W34" s="19" t="s">
        <v>449</v>
      </c>
      <c r="X34" s="20" t="s">
        <v>181</v>
      </c>
      <c r="Y34" s="19" t="s">
        <v>450</v>
      </c>
      <c r="Z34" s="19" t="s">
        <v>451</v>
      </c>
      <c r="AA34" s="19" t="s">
        <v>452</v>
      </c>
      <c r="AB34" s="19" t="s">
        <v>453</v>
      </c>
      <c r="AC34" s="20"/>
      <c r="AD34" s="21" t="n">
        <f aca="false">INDEX(Methods!$D$2:$D$11,MATCH(Q34,Methods!$A$2:$A$11,0))</f>
        <v>0</v>
      </c>
      <c r="AE34" s="22" t="s">
        <v>145</v>
      </c>
      <c r="AF34" s="22"/>
      <c r="AG34" s="22"/>
      <c r="AH34" s="23"/>
      <c r="AI34" s="24"/>
      <c r="AJ34" s="25"/>
      <c r="AK34" s="22"/>
      <c r="AL34" s="18" t="s">
        <v>454</v>
      </c>
    </row>
    <row r="35" customFormat="false" ht="42" hidden="false" customHeight="true" outlineLevel="0" collapsed="false">
      <c r="A35" s="17" t="n">
        <v>216</v>
      </c>
      <c r="B35" s="18" t="s">
        <v>417</v>
      </c>
      <c r="C35" s="18" t="s">
        <v>443</v>
      </c>
      <c r="D35" s="18" t="s">
        <v>455</v>
      </c>
      <c r="E35" s="18" t="s">
        <v>420</v>
      </c>
      <c r="F35" s="18" t="s">
        <v>172</v>
      </c>
      <c r="G35" s="18" t="s">
        <v>173</v>
      </c>
      <c r="H35" s="17" t="s">
        <v>127</v>
      </c>
      <c r="I35" s="18" t="s">
        <v>128</v>
      </c>
      <c r="J35" s="18" t="s">
        <v>129</v>
      </c>
      <c r="K35" s="17" t="s">
        <v>130</v>
      </c>
      <c r="L35" s="17" t="s">
        <v>130</v>
      </c>
      <c r="M35" s="19" t="s">
        <v>174</v>
      </c>
      <c r="N35" s="19" t="s">
        <v>456</v>
      </c>
      <c r="O35" s="19"/>
      <c r="P35" s="19"/>
      <c r="Q35" s="20" t="s">
        <v>177</v>
      </c>
      <c r="R35" s="20" t="s">
        <v>23</v>
      </c>
      <c r="S35" s="20" t="s">
        <v>136</v>
      </c>
      <c r="T35" s="20" t="s">
        <v>136</v>
      </c>
      <c r="U35" s="19" t="s">
        <v>457</v>
      </c>
      <c r="V35" s="19" t="s">
        <v>458</v>
      </c>
      <c r="W35" s="19" t="s">
        <v>459</v>
      </c>
      <c r="X35" s="20" t="s">
        <v>181</v>
      </c>
      <c r="Y35" s="19" t="s">
        <v>460</v>
      </c>
      <c r="Z35" s="19" t="s">
        <v>224</v>
      </c>
      <c r="AA35" s="19" t="s">
        <v>461</v>
      </c>
      <c r="AB35" s="19" t="s">
        <v>462</v>
      </c>
      <c r="AC35" s="20"/>
      <c r="AD35" s="21" t="n">
        <f aca="false">INDEX(Methods!$D$2:$D$11,MATCH(Q35,Methods!$A$2:$A$11,0))</f>
        <v>0</v>
      </c>
      <c r="AE35" s="22" t="s">
        <v>145</v>
      </c>
      <c r="AF35" s="22"/>
      <c r="AG35" s="22"/>
      <c r="AH35" s="23"/>
      <c r="AI35" s="24"/>
      <c r="AJ35" s="25"/>
      <c r="AK35" s="22"/>
      <c r="AL35" s="18" t="s">
        <v>463</v>
      </c>
    </row>
    <row r="36" customFormat="false" ht="29.25" hidden="false" customHeight="true" outlineLevel="0" collapsed="false">
      <c r="A36" s="17" t="n">
        <v>219</v>
      </c>
      <c r="B36" s="18" t="s">
        <v>417</v>
      </c>
      <c r="C36" s="18" t="s">
        <v>464</v>
      </c>
      <c r="D36" s="18" t="s">
        <v>465</v>
      </c>
      <c r="E36" s="18" t="s">
        <v>420</v>
      </c>
      <c r="F36" s="18" t="s">
        <v>125</v>
      </c>
      <c r="G36" s="18" t="s">
        <v>173</v>
      </c>
      <c r="H36" s="17" t="s">
        <v>127</v>
      </c>
      <c r="I36" s="18" t="s">
        <v>128</v>
      </c>
      <c r="J36" s="18" t="s">
        <v>129</v>
      </c>
      <c r="K36" s="17" t="s">
        <v>130</v>
      </c>
      <c r="L36" s="17" t="s">
        <v>130</v>
      </c>
      <c r="M36" s="19" t="s">
        <v>396</v>
      </c>
      <c r="N36" s="19" t="s">
        <v>466</v>
      </c>
      <c r="O36" s="19"/>
      <c r="P36" s="19"/>
      <c r="Q36" s="20" t="s">
        <v>340</v>
      </c>
      <c r="R36" s="20" t="s">
        <v>23</v>
      </c>
      <c r="S36" s="20" t="s">
        <v>135</v>
      </c>
      <c r="T36" s="20" t="s">
        <v>136</v>
      </c>
      <c r="U36" s="19" t="s">
        <v>341</v>
      </c>
      <c r="V36" s="19" t="s">
        <v>467</v>
      </c>
      <c r="W36" s="19" t="s">
        <v>468</v>
      </c>
      <c r="X36" s="20" t="s">
        <v>140</v>
      </c>
      <c r="Y36" s="19" t="s">
        <v>469</v>
      </c>
      <c r="Z36" s="19" t="s">
        <v>470</v>
      </c>
      <c r="AA36" s="19" t="s">
        <v>471</v>
      </c>
      <c r="AB36" s="19" t="s">
        <v>347</v>
      </c>
      <c r="AC36" s="20"/>
      <c r="AD36" s="21" t="n">
        <f aca="false">INDEX(Methods!$D$2:$D$11,MATCH(Q36,Methods!$A$2:$A$11,0))</f>
        <v>0</v>
      </c>
      <c r="AE36" s="22" t="s">
        <v>145</v>
      </c>
      <c r="AF36" s="22"/>
      <c r="AG36" s="22"/>
      <c r="AH36" s="23"/>
      <c r="AI36" s="24"/>
      <c r="AJ36" s="25"/>
      <c r="AK36" s="22"/>
      <c r="AL36" s="18" t="s">
        <v>472</v>
      </c>
    </row>
    <row r="37" customFormat="false" ht="29.25" hidden="false" customHeight="true" outlineLevel="0" collapsed="false">
      <c r="A37" s="17" t="n">
        <v>222</v>
      </c>
      <c r="B37" s="18" t="s">
        <v>417</v>
      </c>
      <c r="C37" s="18" t="s">
        <v>464</v>
      </c>
      <c r="D37" s="18" t="s">
        <v>419</v>
      </c>
      <c r="E37" s="18" t="s">
        <v>420</v>
      </c>
      <c r="F37" s="18" t="s">
        <v>125</v>
      </c>
      <c r="G37" s="18" t="s">
        <v>126</v>
      </c>
      <c r="H37" s="17" t="s">
        <v>130</v>
      </c>
      <c r="I37" s="18" t="s">
        <v>128</v>
      </c>
      <c r="J37" s="18" t="s">
        <v>129</v>
      </c>
      <c r="K37" s="17" t="s">
        <v>130</v>
      </c>
      <c r="L37" s="17" t="s">
        <v>130</v>
      </c>
      <c r="M37" s="19" t="s">
        <v>241</v>
      </c>
      <c r="N37" s="19" t="s">
        <v>421</v>
      </c>
      <c r="O37" s="19"/>
      <c r="P37" s="19"/>
      <c r="Q37" s="20" t="s">
        <v>244</v>
      </c>
      <c r="R37" s="20" t="s">
        <v>27</v>
      </c>
      <c r="S37" s="20" t="s">
        <v>136</v>
      </c>
      <c r="T37" s="20"/>
      <c r="U37" s="19" t="s">
        <v>423</v>
      </c>
      <c r="V37" s="19" t="s">
        <v>473</v>
      </c>
      <c r="W37" s="19" t="s">
        <v>474</v>
      </c>
      <c r="X37" s="20" t="s">
        <v>127</v>
      </c>
      <c r="Y37" s="19" t="s">
        <v>426</v>
      </c>
      <c r="Z37" s="19" t="s">
        <v>427</v>
      </c>
      <c r="AA37" s="19" t="s">
        <v>428</v>
      </c>
      <c r="AB37" s="19" t="s">
        <v>429</v>
      </c>
      <c r="AC37" s="20" t="n">
        <v>199</v>
      </c>
      <c r="AD37" s="21" t="n">
        <f aca="false">INDEX(Methods!$D$2:$D$11,MATCH(Q37,Methods!$A$2:$A$11,0))</f>
        <v>10</v>
      </c>
      <c r="AE37" s="22" t="s">
        <v>145</v>
      </c>
      <c r="AF37" s="22"/>
      <c r="AG37" s="22"/>
      <c r="AH37" s="23"/>
      <c r="AI37" s="24"/>
      <c r="AJ37" s="25"/>
      <c r="AK37" s="22"/>
      <c r="AL37" s="18" t="s">
        <v>430</v>
      </c>
    </row>
    <row r="38" customFormat="false" ht="42" hidden="false" customHeight="true" outlineLevel="0" collapsed="false">
      <c r="A38" s="17" t="n">
        <v>272</v>
      </c>
      <c r="B38" s="18" t="s">
        <v>475</v>
      </c>
      <c r="C38" s="18" t="s">
        <v>476</v>
      </c>
      <c r="D38" s="18" t="s">
        <v>477</v>
      </c>
      <c r="E38" s="18" t="s">
        <v>338</v>
      </c>
      <c r="F38" s="18" t="s">
        <v>172</v>
      </c>
      <c r="G38" s="18" t="s">
        <v>173</v>
      </c>
      <c r="H38" s="17" t="s">
        <v>127</v>
      </c>
      <c r="I38" s="18"/>
      <c r="J38" s="18" t="s">
        <v>291</v>
      </c>
      <c r="K38" s="17" t="s">
        <v>127</v>
      </c>
      <c r="L38" s="17" t="s">
        <v>130</v>
      </c>
      <c r="M38" s="19" t="s">
        <v>188</v>
      </c>
      <c r="N38" s="19" t="s">
        <v>478</v>
      </c>
      <c r="O38" s="19"/>
      <c r="P38" s="19"/>
      <c r="Q38" s="20" t="s">
        <v>379</v>
      </c>
      <c r="R38" s="20" t="s">
        <v>25</v>
      </c>
      <c r="S38" s="20" t="s">
        <v>135</v>
      </c>
      <c r="T38" s="20"/>
      <c r="U38" s="19" t="s">
        <v>274</v>
      </c>
      <c r="V38" s="19"/>
      <c r="W38" s="19" t="s">
        <v>479</v>
      </c>
      <c r="X38" s="20" t="s">
        <v>140</v>
      </c>
      <c r="Y38" s="19" t="s">
        <v>480</v>
      </c>
      <c r="Z38" s="19" t="s">
        <v>481</v>
      </c>
      <c r="AA38" s="19" t="s">
        <v>482</v>
      </c>
      <c r="AB38" s="19" t="s">
        <v>483</v>
      </c>
      <c r="AC38" s="20"/>
      <c r="AD38" s="21" t="n">
        <f aca="false">INDEX(Methods!$D$2:$D$11,MATCH(Q38,Methods!$A$2:$A$11,0))</f>
        <v>30</v>
      </c>
      <c r="AE38" s="22" t="s">
        <v>145</v>
      </c>
      <c r="AF38" s="22"/>
      <c r="AG38" s="22"/>
      <c r="AH38" s="23"/>
      <c r="AI38" s="24"/>
      <c r="AJ38" s="25"/>
      <c r="AK38" s="22"/>
      <c r="AL38" s="18" t="s">
        <v>484</v>
      </c>
    </row>
    <row r="39" customFormat="false" ht="42" hidden="false" customHeight="true" outlineLevel="0" collapsed="false">
      <c r="A39" s="17" t="n">
        <v>274</v>
      </c>
      <c r="B39" s="18" t="s">
        <v>475</v>
      </c>
      <c r="C39" s="18" t="s">
        <v>476</v>
      </c>
      <c r="D39" s="18" t="s">
        <v>485</v>
      </c>
      <c r="E39" s="18" t="s">
        <v>338</v>
      </c>
      <c r="F39" s="18" t="s">
        <v>172</v>
      </c>
      <c r="G39" s="18" t="s">
        <v>173</v>
      </c>
      <c r="H39" s="17" t="s">
        <v>127</v>
      </c>
      <c r="I39" s="18"/>
      <c r="J39" s="18" t="s">
        <v>291</v>
      </c>
      <c r="K39" s="17" t="s">
        <v>127</v>
      </c>
      <c r="L39" s="17" t="s">
        <v>130</v>
      </c>
      <c r="M39" s="19" t="s">
        <v>292</v>
      </c>
      <c r="N39" s="19" t="s">
        <v>486</v>
      </c>
      <c r="O39" s="19"/>
      <c r="P39" s="19"/>
      <c r="Q39" s="20" t="s">
        <v>340</v>
      </c>
      <c r="R39" s="20" t="s">
        <v>23</v>
      </c>
      <c r="S39" s="20" t="s">
        <v>136</v>
      </c>
      <c r="T39" s="20" t="s">
        <v>136</v>
      </c>
      <c r="U39" s="19" t="s">
        <v>341</v>
      </c>
      <c r="V39" s="19" t="s">
        <v>487</v>
      </c>
      <c r="W39" s="19" t="s">
        <v>488</v>
      </c>
      <c r="X39" s="20" t="s">
        <v>127</v>
      </c>
      <c r="Y39" s="19" t="s">
        <v>489</v>
      </c>
      <c r="Z39" s="19" t="s">
        <v>413</v>
      </c>
      <c r="AA39" s="19" t="s">
        <v>490</v>
      </c>
      <c r="AB39" s="19" t="s">
        <v>491</v>
      </c>
      <c r="AC39" s="20"/>
      <c r="AD39" s="21" t="n">
        <f aca="false">INDEX(Methods!$D$2:$D$11,MATCH(Q39,Methods!$A$2:$A$11,0))</f>
        <v>0</v>
      </c>
      <c r="AE39" s="22" t="s">
        <v>145</v>
      </c>
      <c r="AF39" s="22"/>
      <c r="AG39" s="22"/>
      <c r="AH39" s="23"/>
      <c r="AI39" s="24"/>
      <c r="AJ39" s="25"/>
      <c r="AK39" s="22"/>
      <c r="AL39" s="18" t="s">
        <v>492</v>
      </c>
    </row>
    <row r="40" customFormat="false" ht="42" hidden="false" customHeight="true" outlineLevel="0" collapsed="false">
      <c r="A40" s="17" t="n">
        <v>286</v>
      </c>
      <c r="B40" s="18" t="s">
        <v>475</v>
      </c>
      <c r="C40" s="18" t="s">
        <v>476</v>
      </c>
      <c r="D40" s="18" t="s">
        <v>493</v>
      </c>
      <c r="E40" s="18" t="s">
        <v>338</v>
      </c>
      <c r="F40" s="18" t="s">
        <v>172</v>
      </c>
      <c r="G40" s="18" t="s">
        <v>173</v>
      </c>
      <c r="H40" s="17" t="s">
        <v>127</v>
      </c>
      <c r="I40" s="18"/>
      <c r="J40" s="18" t="s">
        <v>291</v>
      </c>
      <c r="K40" s="17" t="s">
        <v>127</v>
      </c>
      <c r="L40" s="17" t="s">
        <v>130</v>
      </c>
      <c r="M40" s="19" t="s">
        <v>292</v>
      </c>
      <c r="N40" s="19" t="s">
        <v>494</v>
      </c>
      <c r="O40" s="19"/>
      <c r="P40" s="19"/>
      <c r="Q40" s="20" t="s">
        <v>340</v>
      </c>
      <c r="R40" s="20" t="s">
        <v>25</v>
      </c>
      <c r="S40" s="20" t="s">
        <v>135</v>
      </c>
      <c r="T40" s="20"/>
      <c r="U40" s="19" t="s">
        <v>274</v>
      </c>
      <c r="V40" s="19"/>
      <c r="W40" s="19" t="s">
        <v>495</v>
      </c>
      <c r="X40" s="20" t="s">
        <v>127</v>
      </c>
      <c r="Y40" s="19" t="s">
        <v>496</v>
      </c>
      <c r="Z40" s="19" t="s">
        <v>497</v>
      </c>
      <c r="AA40" s="19" t="s">
        <v>498</v>
      </c>
      <c r="AB40" s="19" t="s">
        <v>499</v>
      </c>
      <c r="AC40" s="20"/>
      <c r="AD40" s="21" t="n">
        <f aca="false">INDEX(Methods!$D$2:$D$11,MATCH(Q40,Methods!$A$2:$A$11,0))</f>
        <v>0</v>
      </c>
      <c r="AE40" s="22" t="s">
        <v>145</v>
      </c>
      <c r="AF40" s="22"/>
      <c r="AG40" s="22"/>
      <c r="AH40" s="23"/>
      <c r="AI40" s="24"/>
      <c r="AJ40" s="25"/>
      <c r="AK40" s="22"/>
      <c r="AL40" s="18" t="s">
        <v>500</v>
      </c>
    </row>
    <row r="41" customFormat="false" ht="42" hidden="false" customHeight="true" outlineLevel="0" collapsed="false">
      <c r="A41" s="17" t="n">
        <v>294</v>
      </c>
      <c r="B41" s="18" t="s">
        <v>501</v>
      </c>
      <c r="C41" s="18" t="s">
        <v>502</v>
      </c>
      <c r="D41" s="18" t="s">
        <v>503</v>
      </c>
      <c r="E41" s="18" t="s">
        <v>338</v>
      </c>
      <c r="F41" s="18" t="s">
        <v>125</v>
      </c>
      <c r="G41" s="18" t="s">
        <v>126</v>
      </c>
      <c r="H41" s="17" t="s">
        <v>127</v>
      </c>
      <c r="I41" s="18"/>
      <c r="J41" s="18" t="s">
        <v>291</v>
      </c>
      <c r="K41" s="17" t="s">
        <v>127</v>
      </c>
      <c r="L41" s="17" t="s">
        <v>130</v>
      </c>
      <c r="M41" s="19" t="s">
        <v>149</v>
      </c>
      <c r="N41" s="19" t="s">
        <v>504</v>
      </c>
      <c r="O41" s="19"/>
      <c r="P41" s="19"/>
      <c r="Q41" s="20" t="s">
        <v>134</v>
      </c>
      <c r="R41" s="20" t="s">
        <v>25</v>
      </c>
      <c r="S41" s="20" t="s">
        <v>135</v>
      </c>
      <c r="T41" s="20" t="s">
        <v>136</v>
      </c>
      <c r="U41" s="19" t="s">
        <v>137</v>
      </c>
      <c r="V41" s="19" t="s">
        <v>487</v>
      </c>
      <c r="W41" s="19" t="s">
        <v>505</v>
      </c>
      <c r="X41" s="20" t="s">
        <v>140</v>
      </c>
      <c r="Y41" s="19" t="s">
        <v>506</v>
      </c>
      <c r="Z41" s="19" t="s">
        <v>507</v>
      </c>
      <c r="AA41" s="19" t="s">
        <v>508</v>
      </c>
      <c r="AB41" s="19" t="s">
        <v>509</v>
      </c>
      <c r="AC41" s="20"/>
      <c r="AD41" s="21" t="n">
        <f aca="false">INDEX(Methods!$D$2:$D$11,MATCH(Q41,Methods!$A$2:$A$11,0))</f>
        <v>0</v>
      </c>
      <c r="AE41" s="22" t="s">
        <v>145</v>
      </c>
      <c r="AF41" s="22"/>
      <c r="AG41" s="22"/>
      <c r="AH41" s="23"/>
      <c r="AI41" s="24"/>
      <c r="AJ41" s="25"/>
      <c r="AK41" s="22"/>
      <c r="AL41" s="18" t="s">
        <v>510</v>
      </c>
    </row>
    <row r="42" customFormat="false" ht="29.25" hidden="false" customHeight="true" outlineLevel="0" collapsed="false">
      <c r="A42" s="17" t="n">
        <v>296</v>
      </c>
      <c r="B42" s="18" t="s">
        <v>501</v>
      </c>
      <c r="C42" s="18" t="s">
        <v>502</v>
      </c>
      <c r="D42" s="18" t="s">
        <v>511</v>
      </c>
      <c r="E42" s="18" t="s">
        <v>338</v>
      </c>
      <c r="F42" s="18" t="s">
        <v>125</v>
      </c>
      <c r="G42" s="18" t="s">
        <v>126</v>
      </c>
      <c r="H42" s="17" t="s">
        <v>127</v>
      </c>
      <c r="I42" s="18"/>
      <c r="J42" s="18" t="s">
        <v>291</v>
      </c>
      <c r="K42" s="17" t="s">
        <v>127</v>
      </c>
      <c r="L42" s="17" t="s">
        <v>130</v>
      </c>
      <c r="M42" s="19" t="s">
        <v>163</v>
      </c>
      <c r="N42" s="19" t="s">
        <v>512</v>
      </c>
      <c r="O42" s="19"/>
      <c r="P42" s="19"/>
      <c r="Q42" s="20" t="s">
        <v>134</v>
      </c>
      <c r="R42" s="20" t="s">
        <v>25</v>
      </c>
      <c r="S42" s="20" t="s">
        <v>135</v>
      </c>
      <c r="T42" s="20" t="s">
        <v>136</v>
      </c>
      <c r="U42" s="19" t="s">
        <v>137</v>
      </c>
      <c r="V42" s="19" t="s">
        <v>487</v>
      </c>
      <c r="W42" s="19" t="s">
        <v>513</v>
      </c>
      <c r="X42" s="20" t="s">
        <v>140</v>
      </c>
      <c r="Y42" s="19" t="s">
        <v>269</v>
      </c>
      <c r="Z42" s="19" t="s">
        <v>514</v>
      </c>
      <c r="AA42" s="19" t="s">
        <v>508</v>
      </c>
      <c r="AB42" s="19" t="s">
        <v>515</v>
      </c>
      <c r="AC42" s="20" t="n">
        <v>30</v>
      </c>
      <c r="AD42" s="21" t="n">
        <f aca="false">INDEX(Methods!$D$2:$D$11,MATCH(Q42,Methods!$A$2:$A$11,0))</f>
        <v>0</v>
      </c>
      <c r="AE42" s="22" t="s">
        <v>145</v>
      </c>
      <c r="AF42" s="22"/>
      <c r="AG42" s="22"/>
      <c r="AH42" s="23"/>
      <c r="AI42" s="24"/>
      <c r="AJ42" s="25"/>
      <c r="AK42" s="22"/>
      <c r="AL42" s="18" t="s">
        <v>516</v>
      </c>
    </row>
    <row r="43" customFormat="false" ht="42" hidden="false" customHeight="true" outlineLevel="0" collapsed="false">
      <c r="A43" s="17" t="n">
        <v>317</v>
      </c>
      <c r="B43" s="18" t="s">
        <v>517</v>
      </c>
      <c r="C43" s="18" t="s">
        <v>518</v>
      </c>
      <c r="D43" s="18" t="s">
        <v>519</v>
      </c>
      <c r="E43" s="18" t="s">
        <v>124</v>
      </c>
      <c r="F43" s="18" t="s">
        <v>172</v>
      </c>
      <c r="G43" s="18" t="s">
        <v>126</v>
      </c>
      <c r="H43" s="17" t="s">
        <v>130</v>
      </c>
      <c r="I43" s="18" t="s">
        <v>128</v>
      </c>
      <c r="J43" s="18" t="s">
        <v>129</v>
      </c>
      <c r="K43" s="17" t="s">
        <v>130</v>
      </c>
      <c r="L43" s="17" t="s">
        <v>130</v>
      </c>
      <c r="M43" s="19" t="s">
        <v>174</v>
      </c>
      <c r="N43" s="19" t="s">
        <v>520</v>
      </c>
      <c r="O43" s="19"/>
      <c r="P43" s="19"/>
      <c r="Q43" s="20" t="s">
        <v>177</v>
      </c>
      <c r="R43" s="20" t="s">
        <v>23</v>
      </c>
      <c r="S43" s="20" t="s">
        <v>136</v>
      </c>
      <c r="T43" s="20" t="s">
        <v>136</v>
      </c>
      <c r="U43" s="19" t="s">
        <v>457</v>
      </c>
      <c r="V43" s="19" t="s">
        <v>521</v>
      </c>
      <c r="W43" s="19" t="s">
        <v>522</v>
      </c>
      <c r="X43" s="20" t="s">
        <v>181</v>
      </c>
      <c r="Y43" s="19" t="s">
        <v>523</v>
      </c>
      <c r="Z43" s="19" t="s">
        <v>524</v>
      </c>
      <c r="AA43" s="19" t="s">
        <v>525</v>
      </c>
      <c r="AB43" s="19" t="s">
        <v>526</v>
      </c>
      <c r="AC43" s="20"/>
      <c r="AD43" s="21" t="n">
        <f aca="false">INDEX(Methods!$D$2:$D$11,MATCH(Q43,Methods!$A$2:$A$11,0))</f>
        <v>0</v>
      </c>
      <c r="AE43" s="22" t="s">
        <v>145</v>
      </c>
      <c r="AF43" s="22"/>
      <c r="AG43" s="22"/>
      <c r="AH43" s="23"/>
      <c r="AI43" s="24"/>
      <c r="AJ43" s="25"/>
      <c r="AK43" s="22"/>
      <c r="AL43" s="18" t="s">
        <v>527</v>
      </c>
    </row>
    <row r="44" customFormat="false" ht="54.75" hidden="false" customHeight="true" outlineLevel="0" collapsed="false">
      <c r="A44" s="17" t="n">
        <v>318</v>
      </c>
      <c r="B44" s="18" t="s">
        <v>517</v>
      </c>
      <c r="C44" s="18" t="s">
        <v>528</v>
      </c>
      <c r="D44" s="18" t="s">
        <v>529</v>
      </c>
      <c r="E44" s="18" t="s">
        <v>124</v>
      </c>
      <c r="F44" s="18" t="s">
        <v>125</v>
      </c>
      <c r="G44" s="18" t="s">
        <v>173</v>
      </c>
      <c r="H44" s="17" t="s">
        <v>127</v>
      </c>
      <c r="I44" s="18" t="s">
        <v>128</v>
      </c>
      <c r="J44" s="18" t="s">
        <v>129</v>
      </c>
      <c r="K44" s="17" t="s">
        <v>130</v>
      </c>
      <c r="L44" s="17" t="s">
        <v>130</v>
      </c>
      <c r="M44" s="19" t="s">
        <v>131</v>
      </c>
      <c r="N44" s="19" t="s">
        <v>530</v>
      </c>
      <c r="O44" s="19"/>
      <c r="P44" s="19"/>
      <c r="Q44" s="20" t="s">
        <v>177</v>
      </c>
      <c r="R44" s="20" t="s">
        <v>25</v>
      </c>
      <c r="S44" s="20" t="s">
        <v>135</v>
      </c>
      <c r="T44" s="20" t="s">
        <v>136</v>
      </c>
      <c r="U44" s="19" t="s">
        <v>137</v>
      </c>
      <c r="V44" s="19" t="s">
        <v>531</v>
      </c>
      <c r="W44" s="19" t="s">
        <v>532</v>
      </c>
      <c r="X44" s="20" t="s">
        <v>181</v>
      </c>
      <c r="Y44" s="19" t="s">
        <v>533</v>
      </c>
      <c r="Z44" s="19" t="s">
        <v>534</v>
      </c>
      <c r="AA44" s="19" t="s">
        <v>508</v>
      </c>
      <c r="AB44" s="19" t="s">
        <v>535</v>
      </c>
      <c r="AC44" s="20"/>
      <c r="AD44" s="21" t="n">
        <f aca="false">INDEX(Methods!$D$2:$D$11,MATCH(Q44,Methods!$A$2:$A$11,0))</f>
        <v>0</v>
      </c>
      <c r="AE44" s="22" t="s">
        <v>145</v>
      </c>
      <c r="AF44" s="22"/>
      <c r="AG44" s="22"/>
      <c r="AH44" s="23"/>
      <c r="AI44" s="24"/>
      <c r="AJ44" s="25"/>
      <c r="AK44" s="22"/>
      <c r="AL44" s="18" t="s">
        <v>536</v>
      </c>
    </row>
    <row r="45" customFormat="false" ht="29.25" hidden="false" customHeight="true" outlineLevel="0" collapsed="false">
      <c r="A45" s="17" t="n">
        <v>319</v>
      </c>
      <c r="B45" s="18" t="s">
        <v>517</v>
      </c>
      <c r="C45" s="18" t="s">
        <v>528</v>
      </c>
      <c r="D45" s="18" t="s">
        <v>123</v>
      </c>
      <c r="E45" s="18" t="s">
        <v>124</v>
      </c>
      <c r="F45" s="18" t="s">
        <v>125</v>
      </c>
      <c r="G45" s="18" t="s">
        <v>126</v>
      </c>
      <c r="H45" s="17" t="s">
        <v>127</v>
      </c>
      <c r="I45" s="18" t="s">
        <v>128</v>
      </c>
      <c r="J45" s="18" t="s">
        <v>129</v>
      </c>
      <c r="K45" s="17" t="s">
        <v>130</v>
      </c>
      <c r="L45" s="17" t="s">
        <v>130</v>
      </c>
      <c r="M45" s="19" t="s">
        <v>131</v>
      </c>
      <c r="N45" s="19" t="s">
        <v>267</v>
      </c>
      <c r="O45" s="19"/>
      <c r="P45" s="19"/>
      <c r="Q45" s="20" t="s">
        <v>134</v>
      </c>
      <c r="R45" s="20" t="s">
        <v>25</v>
      </c>
      <c r="S45" s="20" t="s">
        <v>135</v>
      </c>
      <c r="T45" s="20" t="s">
        <v>136</v>
      </c>
      <c r="U45" s="19" t="s">
        <v>137</v>
      </c>
      <c r="V45" s="19" t="s">
        <v>537</v>
      </c>
      <c r="W45" s="19" t="s">
        <v>538</v>
      </c>
      <c r="X45" s="20" t="s">
        <v>140</v>
      </c>
      <c r="Y45" s="19" t="s">
        <v>269</v>
      </c>
      <c r="Z45" s="19" t="s">
        <v>168</v>
      </c>
      <c r="AA45" s="19" t="s">
        <v>143</v>
      </c>
      <c r="AB45" s="19" t="s">
        <v>270</v>
      </c>
      <c r="AC45" s="20" t="n">
        <v>30</v>
      </c>
      <c r="AD45" s="21" t="n">
        <f aca="false">INDEX(Methods!$D$2:$D$11,MATCH(Q45,Methods!$A$2:$A$11,0))</f>
        <v>0</v>
      </c>
      <c r="AE45" s="22" t="s">
        <v>145</v>
      </c>
      <c r="AF45" s="22"/>
      <c r="AG45" s="22"/>
      <c r="AH45" s="23"/>
      <c r="AI45" s="24"/>
      <c r="AJ45" s="25"/>
      <c r="AK45" s="22"/>
      <c r="AL45" s="18" t="s">
        <v>146</v>
      </c>
    </row>
    <row r="46" customFormat="false" ht="54.75" hidden="false" customHeight="true" outlineLevel="0" collapsed="false">
      <c r="A46" s="17" t="n">
        <v>325</v>
      </c>
      <c r="B46" s="18" t="s">
        <v>517</v>
      </c>
      <c r="C46" s="18" t="s">
        <v>528</v>
      </c>
      <c r="D46" s="18" t="s">
        <v>539</v>
      </c>
      <c r="E46" s="18" t="s">
        <v>124</v>
      </c>
      <c r="F46" s="18" t="s">
        <v>125</v>
      </c>
      <c r="G46" s="18" t="s">
        <v>173</v>
      </c>
      <c r="H46" s="17" t="s">
        <v>127</v>
      </c>
      <c r="I46" s="18" t="s">
        <v>128</v>
      </c>
      <c r="J46" s="18" t="s">
        <v>129</v>
      </c>
      <c r="K46" s="17" t="s">
        <v>130</v>
      </c>
      <c r="L46" s="17" t="s">
        <v>130</v>
      </c>
      <c r="M46" s="19" t="s">
        <v>310</v>
      </c>
      <c r="N46" s="19" t="s">
        <v>540</v>
      </c>
      <c r="O46" s="19"/>
      <c r="P46" s="19"/>
      <c r="Q46" s="20" t="s">
        <v>340</v>
      </c>
      <c r="R46" s="20" t="s">
        <v>25</v>
      </c>
      <c r="S46" s="20" t="s">
        <v>153</v>
      </c>
      <c r="T46" s="20" t="s">
        <v>153</v>
      </c>
      <c r="U46" s="19" t="s">
        <v>245</v>
      </c>
      <c r="V46" s="19" t="s">
        <v>541</v>
      </c>
      <c r="W46" s="19" t="s">
        <v>542</v>
      </c>
      <c r="X46" s="20" t="s">
        <v>127</v>
      </c>
      <c r="Y46" s="19" t="s">
        <v>543</v>
      </c>
      <c r="Z46" s="19" t="s">
        <v>544</v>
      </c>
      <c r="AA46" s="19" t="s">
        <v>250</v>
      </c>
      <c r="AB46" s="19" t="s">
        <v>315</v>
      </c>
      <c r="AC46" s="20"/>
      <c r="AD46" s="21" t="n">
        <f aca="false">INDEX(Methods!$D$2:$D$11,MATCH(Q46,Methods!$A$2:$A$11,0))</f>
        <v>0</v>
      </c>
      <c r="AE46" s="22" t="s">
        <v>145</v>
      </c>
      <c r="AF46" s="22"/>
      <c r="AG46" s="22"/>
      <c r="AH46" s="23"/>
      <c r="AI46" s="24"/>
      <c r="AJ46" s="25"/>
      <c r="AK46" s="22"/>
      <c r="AL46" s="18" t="s">
        <v>545</v>
      </c>
    </row>
    <row r="47" customFormat="false" ht="29.25" hidden="false" customHeight="true" outlineLevel="0" collapsed="false">
      <c r="A47" s="17" t="n">
        <v>327</v>
      </c>
      <c r="B47" s="18" t="s">
        <v>517</v>
      </c>
      <c r="C47" s="18" t="s">
        <v>528</v>
      </c>
      <c r="D47" s="18" t="s">
        <v>546</v>
      </c>
      <c r="E47" s="18" t="s">
        <v>124</v>
      </c>
      <c r="F47" s="18" t="s">
        <v>125</v>
      </c>
      <c r="G47" s="18" t="s">
        <v>126</v>
      </c>
      <c r="H47" s="17" t="s">
        <v>127</v>
      </c>
      <c r="I47" s="18" t="s">
        <v>128</v>
      </c>
      <c r="J47" s="18" t="s">
        <v>129</v>
      </c>
      <c r="K47" s="17" t="s">
        <v>130</v>
      </c>
      <c r="L47" s="17" t="s">
        <v>130</v>
      </c>
      <c r="M47" s="19" t="s">
        <v>396</v>
      </c>
      <c r="N47" s="19" t="s">
        <v>547</v>
      </c>
      <c r="O47" s="19"/>
      <c r="P47" s="19"/>
      <c r="Q47" s="20" t="s">
        <v>340</v>
      </c>
      <c r="R47" s="20" t="s">
        <v>25</v>
      </c>
      <c r="S47" s="20" t="s">
        <v>135</v>
      </c>
      <c r="T47" s="20" t="s">
        <v>136</v>
      </c>
      <c r="U47" s="19" t="s">
        <v>341</v>
      </c>
      <c r="V47" s="19" t="s">
        <v>548</v>
      </c>
      <c r="W47" s="19" t="s">
        <v>549</v>
      </c>
      <c r="X47" s="20" t="s">
        <v>127</v>
      </c>
      <c r="Y47" s="19" t="s">
        <v>550</v>
      </c>
      <c r="Z47" s="19" t="s">
        <v>413</v>
      </c>
      <c r="AA47" s="19" t="s">
        <v>551</v>
      </c>
      <c r="AB47" s="19" t="s">
        <v>347</v>
      </c>
      <c r="AC47" s="20"/>
      <c r="AD47" s="21" t="n">
        <f aca="false">INDEX(Methods!$D$2:$D$11,MATCH(Q47,Methods!$A$2:$A$11,0))</f>
        <v>0</v>
      </c>
      <c r="AE47" s="22" t="s">
        <v>145</v>
      </c>
      <c r="AF47" s="22"/>
      <c r="AG47" s="22"/>
      <c r="AH47" s="23"/>
      <c r="AI47" s="24"/>
      <c r="AJ47" s="25"/>
      <c r="AK47" s="22"/>
      <c r="AL47" s="18" t="s">
        <v>552</v>
      </c>
    </row>
    <row r="48" customFormat="false" ht="42" hidden="false" customHeight="true" outlineLevel="0" collapsed="false">
      <c r="A48" s="17" t="n">
        <v>328</v>
      </c>
      <c r="B48" s="18" t="s">
        <v>517</v>
      </c>
      <c r="C48" s="18" t="s">
        <v>528</v>
      </c>
      <c r="D48" s="18" t="s">
        <v>553</v>
      </c>
      <c r="E48" s="18" t="s">
        <v>124</v>
      </c>
      <c r="F48" s="18" t="s">
        <v>125</v>
      </c>
      <c r="G48" s="18" t="s">
        <v>173</v>
      </c>
      <c r="H48" s="17" t="s">
        <v>127</v>
      </c>
      <c r="I48" s="18" t="s">
        <v>128</v>
      </c>
      <c r="J48" s="18" t="s">
        <v>129</v>
      </c>
      <c r="K48" s="17" t="s">
        <v>130</v>
      </c>
      <c r="L48" s="17" t="s">
        <v>130</v>
      </c>
      <c r="M48" s="19" t="s">
        <v>163</v>
      </c>
      <c r="N48" s="19" t="s">
        <v>554</v>
      </c>
      <c r="O48" s="19"/>
      <c r="P48" s="19"/>
      <c r="Q48" s="20" t="s">
        <v>134</v>
      </c>
      <c r="R48" s="20" t="s">
        <v>25</v>
      </c>
      <c r="S48" s="20" t="s">
        <v>135</v>
      </c>
      <c r="T48" s="20" t="s">
        <v>136</v>
      </c>
      <c r="U48" s="19" t="s">
        <v>137</v>
      </c>
      <c r="V48" s="19" t="s">
        <v>555</v>
      </c>
      <c r="W48" s="19" t="s">
        <v>556</v>
      </c>
      <c r="X48" s="20" t="s">
        <v>140</v>
      </c>
      <c r="Y48" s="19" t="s">
        <v>557</v>
      </c>
      <c r="Z48" s="19" t="s">
        <v>514</v>
      </c>
      <c r="AA48" s="19" t="s">
        <v>508</v>
      </c>
      <c r="AB48" s="19" t="s">
        <v>558</v>
      </c>
      <c r="AC48" s="20"/>
      <c r="AD48" s="21" t="n">
        <f aca="false">INDEX(Methods!$D$2:$D$11,MATCH(Q48,Methods!$A$2:$A$11,0))</f>
        <v>0</v>
      </c>
      <c r="AE48" s="22" t="s">
        <v>145</v>
      </c>
      <c r="AF48" s="22"/>
      <c r="AG48" s="22"/>
      <c r="AH48" s="23"/>
      <c r="AI48" s="24"/>
      <c r="AJ48" s="25"/>
      <c r="AK48" s="22"/>
      <c r="AL48" s="18" t="s">
        <v>559</v>
      </c>
    </row>
    <row r="49" customFormat="false" ht="42" hidden="false" customHeight="true" outlineLevel="0" collapsed="false">
      <c r="A49" s="17" t="n">
        <v>329</v>
      </c>
      <c r="B49" s="18" t="s">
        <v>517</v>
      </c>
      <c r="C49" s="18" t="s">
        <v>528</v>
      </c>
      <c r="D49" s="18" t="s">
        <v>560</v>
      </c>
      <c r="E49" s="18" t="s">
        <v>124</v>
      </c>
      <c r="F49" s="18" t="s">
        <v>125</v>
      </c>
      <c r="G49" s="18" t="s">
        <v>173</v>
      </c>
      <c r="H49" s="17" t="s">
        <v>127</v>
      </c>
      <c r="I49" s="18" t="s">
        <v>128</v>
      </c>
      <c r="J49" s="18" t="s">
        <v>129</v>
      </c>
      <c r="K49" s="17" t="s">
        <v>130</v>
      </c>
      <c r="L49" s="17" t="s">
        <v>130</v>
      </c>
      <c r="M49" s="19" t="s">
        <v>131</v>
      </c>
      <c r="N49" s="19" t="s">
        <v>561</v>
      </c>
      <c r="O49" s="19"/>
      <c r="P49" s="19"/>
      <c r="Q49" s="20" t="s">
        <v>134</v>
      </c>
      <c r="R49" s="20" t="s">
        <v>25</v>
      </c>
      <c r="S49" s="20" t="s">
        <v>135</v>
      </c>
      <c r="T49" s="20" t="s">
        <v>136</v>
      </c>
      <c r="U49" s="19" t="s">
        <v>137</v>
      </c>
      <c r="V49" s="19" t="s">
        <v>555</v>
      </c>
      <c r="W49" s="19" t="s">
        <v>562</v>
      </c>
      <c r="X49" s="20" t="s">
        <v>140</v>
      </c>
      <c r="Y49" s="19" t="s">
        <v>269</v>
      </c>
      <c r="Z49" s="19" t="s">
        <v>413</v>
      </c>
      <c r="AA49" s="19" t="s">
        <v>563</v>
      </c>
      <c r="AB49" s="19" t="s">
        <v>564</v>
      </c>
      <c r="AC49" s="20" t="n">
        <v>30</v>
      </c>
      <c r="AD49" s="21" t="n">
        <f aca="false">INDEX(Methods!$D$2:$D$11,MATCH(Q49,Methods!$A$2:$A$11,0))</f>
        <v>0</v>
      </c>
      <c r="AE49" s="22" t="s">
        <v>145</v>
      </c>
      <c r="AF49" s="22"/>
      <c r="AG49" s="22"/>
      <c r="AH49" s="23"/>
      <c r="AI49" s="24"/>
      <c r="AJ49" s="25"/>
      <c r="AK49" s="22"/>
      <c r="AL49" s="18" t="s">
        <v>565</v>
      </c>
    </row>
    <row r="50" customFormat="false" ht="42" hidden="false" customHeight="true" outlineLevel="0" collapsed="false">
      <c r="A50" s="17" t="n">
        <v>432</v>
      </c>
      <c r="B50" s="18" t="s">
        <v>566</v>
      </c>
      <c r="C50" s="18" t="s">
        <v>567</v>
      </c>
      <c r="D50" s="18" t="s">
        <v>568</v>
      </c>
      <c r="E50" s="18" t="s">
        <v>124</v>
      </c>
      <c r="F50" s="18" t="s">
        <v>172</v>
      </c>
      <c r="G50" s="18" t="s">
        <v>126</v>
      </c>
      <c r="H50" s="17" t="s">
        <v>127</v>
      </c>
      <c r="I50" s="18" t="s">
        <v>128</v>
      </c>
      <c r="J50" s="18" t="s">
        <v>129</v>
      </c>
      <c r="K50" s="17" t="s">
        <v>130</v>
      </c>
      <c r="L50" s="17" t="s">
        <v>130</v>
      </c>
      <c r="M50" s="19" t="s">
        <v>174</v>
      </c>
      <c r="N50" s="19" t="s">
        <v>569</v>
      </c>
      <c r="O50" s="19"/>
      <c r="P50" s="19"/>
      <c r="Q50" s="20" t="s">
        <v>177</v>
      </c>
      <c r="R50" s="20" t="s">
        <v>23</v>
      </c>
      <c r="S50" s="20" t="s">
        <v>136</v>
      </c>
      <c r="T50" s="20" t="s">
        <v>136</v>
      </c>
      <c r="U50" s="19" t="s">
        <v>457</v>
      </c>
      <c r="V50" s="19" t="s">
        <v>570</v>
      </c>
      <c r="W50" s="19" t="s">
        <v>571</v>
      </c>
      <c r="X50" s="20" t="s">
        <v>181</v>
      </c>
      <c r="Y50" s="19" t="s">
        <v>572</v>
      </c>
      <c r="Z50" s="19" t="s">
        <v>224</v>
      </c>
      <c r="AA50" s="19" t="s">
        <v>573</v>
      </c>
      <c r="AB50" s="19" t="s">
        <v>226</v>
      </c>
      <c r="AC50" s="20"/>
      <c r="AD50" s="21" t="n">
        <f aca="false">INDEX(Methods!$D$2:$D$11,MATCH(Q50,Methods!$A$2:$A$11,0))</f>
        <v>0</v>
      </c>
      <c r="AE50" s="22" t="s">
        <v>145</v>
      </c>
      <c r="AF50" s="22"/>
      <c r="AG50" s="22"/>
      <c r="AH50" s="23"/>
      <c r="AI50" s="24"/>
      <c r="AJ50" s="25"/>
      <c r="AK50" s="22"/>
      <c r="AL50" s="18" t="s">
        <v>574</v>
      </c>
    </row>
    <row r="51" customFormat="false" ht="42" hidden="false" customHeight="true" outlineLevel="0" collapsed="false">
      <c r="A51" s="17" t="n">
        <v>433</v>
      </c>
      <c r="B51" s="18" t="s">
        <v>566</v>
      </c>
      <c r="C51" s="18" t="s">
        <v>567</v>
      </c>
      <c r="D51" s="18" t="s">
        <v>575</v>
      </c>
      <c r="E51" s="18" t="s">
        <v>124</v>
      </c>
      <c r="F51" s="18" t="s">
        <v>172</v>
      </c>
      <c r="G51" s="18" t="s">
        <v>126</v>
      </c>
      <c r="H51" s="17" t="s">
        <v>127</v>
      </c>
      <c r="I51" s="18" t="s">
        <v>148</v>
      </c>
      <c r="J51" s="18" t="s">
        <v>129</v>
      </c>
      <c r="K51" s="17" t="s">
        <v>130</v>
      </c>
      <c r="L51" s="17" t="s">
        <v>130</v>
      </c>
      <c r="M51" s="19" t="s">
        <v>174</v>
      </c>
      <c r="N51" s="19" t="s">
        <v>576</v>
      </c>
      <c r="O51" s="19"/>
      <c r="P51" s="19"/>
      <c r="Q51" s="20" t="s">
        <v>177</v>
      </c>
      <c r="R51" s="20" t="s">
        <v>23</v>
      </c>
      <c r="S51" s="20" t="s">
        <v>136</v>
      </c>
      <c r="T51" s="20" t="s">
        <v>136</v>
      </c>
      <c r="U51" s="19" t="s">
        <v>457</v>
      </c>
      <c r="V51" s="19" t="s">
        <v>570</v>
      </c>
      <c r="W51" s="19" t="s">
        <v>577</v>
      </c>
      <c r="X51" s="20" t="s">
        <v>181</v>
      </c>
      <c r="Y51" s="19" t="s">
        <v>578</v>
      </c>
      <c r="Z51" s="19" t="s">
        <v>224</v>
      </c>
      <c r="AA51" s="19" t="s">
        <v>579</v>
      </c>
      <c r="AB51" s="19" t="s">
        <v>226</v>
      </c>
      <c r="AC51" s="20" t="n">
        <v>432</v>
      </c>
      <c r="AD51" s="21" t="n">
        <f aca="false">INDEX(Methods!$D$2:$D$11,MATCH(Q51,Methods!$A$2:$A$11,0))</f>
        <v>0</v>
      </c>
      <c r="AE51" s="22" t="s">
        <v>145</v>
      </c>
      <c r="AF51" s="22"/>
      <c r="AG51" s="22"/>
      <c r="AH51" s="23"/>
      <c r="AI51" s="24"/>
      <c r="AJ51" s="25"/>
      <c r="AK51" s="22"/>
      <c r="AL51" s="18" t="s">
        <v>580</v>
      </c>
    </row>
    <row r="52" customFormat="false" ht="42" hidden="false" customHeight="true" outlineLevel="0" collapsed="false">
      <c r="A52" s="17" t="n">
        <v>434</v>
      </c>
      <c r="B52" s="18" t="s">
        <v>566</v>
      </c>
      <c r="C52" s="18" t="s">
        <v>567</v>
      </c>
      <c r="D52" s="18" t="s">
        <v>581</v>
      </c>
      <c r="E52" s="18" t="s">
        <v>124</v>
      </c>
      <c r="F52" s="18" t="s">
        <v>172</v>
      </c>
      <c r="G52" s="18" t="s">
        <v>126</v>
      </c>
      <c r="H52" s="17" t="s">
        <v>127</v>
      </c>
      <c r="I52" s="18" t="s">
        <v>128</v>
      </c>
      <c r="J52" s="18" t="s">
        <v>129</v>
      </c>
      <c r="K52" s="17" t="s">
        <v>130</v>
      </c>
      <c r="L52" s="17" t="s">
        <v>130</v>
      </c>
      <c r="M52" s="19" t="s">
        <v>174</v>
      </c>
      <c r="N52" s="19" t="s">
        <v>582</v>
      </c>
      <c r="O52" s="19"/>
      <c r="P52" s="19"/>
      <c r="Q52" s="20" t="s">
        <v>177</v>
      </c>
      <c r="R52" s="20" t="s">
        <v>23</v>
      </c>
      <c r="S52" s="20" t="s">
        <v>136</v>
      </c>
      <c r="T52" s="20" t="s">
        <v>136</v>
      </c>
      <c r="U52" s="19" t="s">
        <v>457</v>
      </c>
      <c r="V52" s="19" t="s">
        <v>583</v>
      </c>
      <c r="W52" s="19" t="s">
        <v>584</v>
      </c>
      <c r="X52" s="20" t="s">
        <v>181</v>
      </c>
      <c r="Y52" s="19" t="s">
        <v>572</v>
      </c>
      <c r="Z52" s="19" t="s">
        <v>224</v>
      </c>
      <c r="AA52" s="19" t="s">
        <v>579</v>
      </c>
      <c r="AB52" s="19" t="s">
        <v>226</v>
      </c>
      <c r="AC52" s="20"/>
      <c r="AD52" s="21" t="n">
        <f aca="false">INDEX(Methods!$D$2:$D$11,MATCH(Q52,Methods!$A$2:$A$11,0))</f>
        <v>0</v>
      </c>
      <c r="AE52" s="22" t="s">
        <v>145</v>
      </c>
      <c r="AF52" s="22"/>
      <c r="AG52" s="22"/>
      <c r="AH52" s="23"/>
      <c r="AI52" s="24"/>
      <c r="AJ52" s="25"/>
      <c r="AK52" s="22"/>
      <c r="AL52" s="18" t="s">
        <v>585</v>
      </c>
    </row>
    <row r="53" customFormat="false" ht="29.25" hidden="false" customHeight="true" outlineLevel="0" collapsed="false">
      <c r="A53" s="17" t="n">
        <v>436</v>
      </c>
      <c r="B53" s="18" t="s">
        <v>566</v>
      </c>
      <c r="C53" s="18" t="s">
        <v>567</v>
      </c>
      <c r="D53" s="18" t="s">
        <v>586</v>
      </c>
      <c r="E53" s="18" t="s">
        <v>124</v>
      </c>
      <c r="F53" s="18" t="s">
        <v>125</v>
      </c>
      <c r="G53" s="18" t="s">
        <v>126</v>
      </c>
      <c r="H53" s="17" t="s">
        <v>127</v>
      </c>
      <c r="I53" s="18" t="s">
        <v>128</v>
      </c>
      <c r="J53" s="18" t="s">
        <v>129</v>
      </c>
      <c r="K53" s="17" t="s">
        <v>130</v>
      </c>
      <c r="L53" s="17" t="s">
        <v>130</v>
      </c>
      <c r="M53" s="19" t="s">
        <v>163</v>
      </c>
      <c r="N53" s="19" t="s">
        <v>587</v>
      </c>
      <c r="O53" s="19"/>
      <c r="P53" s="19"/>
      <c r="Q53" s="20" t="s">
        <v>134</v>
      </c>
      <c r="R53" s="20" t="s">
        <v>25</v>
      </c>
      <c r="S53" s="20" t="s">
        <v>135</v>
      </c>
      <c r="T53" s="20" t="s">
        <v>153</v>
      </c>
      <c r="U53" s="19" t="s">
        <v>154</v>
      </c>
      <c r="V53" s="19" t="s">
        <v>588</v>
      </c>
      <c r="W53" s="19" t="s">
        <v>589</v>
      </c>
      <c r="X53" s="20" t="s">
        <v>140</v>
      </c>
      <c r="Y53" s="19" t="s">
        <v>590</v>
      </c>
      <c r="Z53" s="19" t="s">
        <v>591</v>
      </c>
      <c r="AA53" s="19" t="s">
        <v>143</v>
      </c>
      <c r="AB53" s="19" t="s">
        <v>285</v>
      </c>
      <c r="AC53" s="20" t="n">
        <v>84</v>
      </c>
      <c r="AD53" s="21" t="n">
        <f aca="false">INDEX(Methods!$D$2:$D$11,MATCH(Q53,Methods!$A$2:$A$11,0))</f>
        <v>0</v>
      </c>
      <c r="AE53" s="22" t="s">
        <v>145</v>
      </c>
      <c r="AF53" s="22"/>
      <c r="AG53" s="22"/>
      <c r="AH53" s="23"/>
      <c r="AI53" s="24"/>
      <c r="AJ53" s="25"/>
      <c r="AK53" s="22"/>
      <c r="AL53" s="18" t="s">
        <v>592</v>
      </c>
    </row>
    <row r="54" customFormat="false" ht="42" hidden="false" customHeight="true" outlineLevel="0" collapsed="false">
      <c r="A54" s="17" t="n">
        <v>437</v>
      </c>
      <c r="B54" s="18" t="s">
        <v>566</v>
      </c>
      <c r="C54" s="18" t="s">
        <v>567</v>
      </c>
      <c r="D54" s="18" t="s">
        <v>593</v>
      </c>
      <c r="E54" s="18" t="s">
        <v>124</v>
      </c>
      <c r="F54" s="18" t="s">
        <v>172</v>
      </c>
      <c r="G54" s="18" t="s">
        <v>126</v>
      </c>
      <c r="H54" s="17" t="s">
        <v>127</v>
      </c>
      <c r="I54" s="18" t="s">
        <v>128</v>
      </c>
      <c r="J54" s="18" t="s">
        <v>129</v>
      </c>
      <c r="K54" s="17" t="s">
        <v>130</v>
      </c>
      <c r="L54" s="17" t="s">
        <v>130</v>
      </c>
      <c r="M54" s="19" t="s">
        <v>174</v>
      </c>
      <c r="N54" s="19" t="s">
        <v>594</v>
      </c>
      <c r="O54" s="19"/>
      <c r="P54" s="19"/>
      <c r="Q54" s="20" t="s">
        <v>177</v>
      </c>
      <c r="R54" s="20" t="s">
        <v>23</v>
      </c>
      <c r="S54" s="20" t="s">
        <v>136</v>
      </c>
      <c r="T54" s="20" t="s">
        <v>136</v>
      </c>
      <c r="U54" s="19" t="s">
        <v>457</v>
      </c>
      <c r="V54" s="19" t="s">
        <v>595</v>
      </c>
      <c r="W54" s="19" t="s">
        <v>596</v>
      </c>
      <c r="X54" s="20" t="s">
        <v>181</v>
      </c>
      <c r="Y54" s="19" t="s">
        <v>597</v>
      </c>
      <c r="Z54" s="19" t="s">
        <v>224</v>
      </c>
      <c r="AA54" s="19" t="s">
        <v>371</v>
      </c>
      <c r="AB54" s="19" t="s">
        <v>372</v>
      </c>
      <c r="AC54" s="20" t="n">
        <v>128</v>
      </c>
      <c r="AD54" s="21" t="n">
        <f aca="false">INDEX(Methods!$D$2:$D$11,MATCH(Q54,Methods!$A$2:$A$11,0))</f>
        <v>0</v>
      </c>
      <c r="AE54" s="22" t="s">
        <v>145</v>
      </c>
      <c r="AF54" s="22"/>
      <c r="AG54" s="22"/>
      <c r="AH54" s="23"/>
      <c r="AI54" s="24"/>
      <c r="AJ54" s="25"/>
      <c r="AK54" s="22"/>
      <c r="AL54" s="18" t="s">
        <v>598</v>
      </c>
    </row>
    <row r="55" customFormat="false" ht="42" hidden="false" customHeight="true" outlineLevel="0" collapsed="false">
      <c r="A55" s="17" t="n">
        <v>438</v>
      </c>
      <c r="B55" s="18" t="s">
        <v>566</v>
      </c>
      <c r="C55" s="18" t="s">
        <v>567</v>
      </c>
      <c r="D55" s="18" t="s">
        <v>599</v>
      </c>
      <c r="E55" s="18" t="s">
        <v>124</v>
      </c>
      <c r="F55" s="18" t="s">
        <v>172</v>
      </c>
      <c r="G55" s="18" t="s">
        <v>173</v>
      </c>
      <c r="H55" s="17" t="s">
        <v>127</v>
      </c>
      <c r="I55" s="18" t="s">
        <v>128</v>
      </c>
      <c r="J55" s="18" t="s">
        <v>129</v>
      </c>
      <c r="K55" s="17" t="s">
        <v>130</v>
      </c>
      <c r="L55" s="17" t="s">
        <v>130</v>
      </c>
      <c r="M55" s="19" t="s">
        <v>292</v>
      </c>
      <c r="N55" s="19" t="s">
        <v>600</v>
      </c>
      <c r="O55" s="19"/>
      <c r="P55" s="19"/>
      <c r="Q55" s="20" t="s">
        <v>340</v>
      </c>
      <c r="R55" s="20" t="s">
        <v>25</v>
      </c>
      <c r="S55" s="20" t="s">
        <v>153</v>
      </c>
      <c r="T55" s="20" t="s">
        <v>153</v>
      </c>
      <c r="U55" s="19" t="s">
        <v>154</v>
      </c>
      <c r="V55" s="19" t="s">
        <v>601</v>
      </c>
      <c r="W55" s="19" t="s">
        <v>602</v>
      </c>
      <c r="X55" s="20" t="s">
        <v>127</v>
      </c>
      <c r="Y55" s="19" t="s">
        <v>603</v>
      </c>
      <c r="Z55" s="19" t="s">
        <v>604</v>
      </c>
      <c r="AA55" s="19" t="s">
        <v>605</v>
      </c>
      <c r="AB55" s="19" t="s">
        <v>606</v>
      </c>
      <c r="AC55" s="20"/>
      <c r="AD55" s="21" t="n">
        <f aca="false">INDEX(Methods!$D$2:$D$11,MATCH(Q55,Methods!$A$2:$A$11,0))</f>
        <v>0</v>
      </c>
      <c r="AE55" s="22" t="s">
        <v>145</v>
      </c>
      <c r="AF55" s="22"/>
      <c r="AG55" s="22"/>
      <c r="AH55" s="23"/>
      <c r="AI55" s="24"/>
      <c r="AJ55" s="25"/>
      <c r="AK55" s="22"/>
      <c r="AL55" s="18" t="s">
        <v>607</v>
      </c>
    </row>
    <row r="56" customFormat="false" ht="42" hidden="false" customHeight="true" outlineLevel="0" collapsed="false">
      <c r="A56" s="17" t="n">
        <v>441</v>
      </c>
      <c r="B56" s="18" t="s">
        <v>566</v>
      </c>
      <c r="C56" s="18" t="s">
        <v>608</v>
      </c>
      <c r="D56" s="18" t="s">
        <v>609</v>
      </c>
      <c r="E56" s="18" t="s">
        <v>124</v>
      </c>
      <c r="F56" s="18" t="s">
        <v>172</v>
      </c>
      <c r="G56" s="18" t="s">
        <v>173</v>
      </c>
      <c r="H56" s="17" t="s">
        <v>127</v>
      </c>
      <c r="I56" s="18" t="s">
        <v>128</v>
      </c>
      <c r="J56" s="18" t="s">
        <v>129</v>
      </c>
      <c r="K56" s="17" t="s">
        <v>130</v>
      </c>
      <c r="L56" s="17" t="s">
        <v>130</v>
      </c>
      <c r="M56" s="19" t="s">
        <v>188</v>
      </c>
      <c r="N56" s="19" t="s">
        <v>610</v>
      </c>
      <c r="O56" s="19"/>
      <c r="P56" s="19"/>
      <c r="Q56" s="20" t="s">
        <v>379</v>
      </c>
      <c r="R56" s="20" t="s">
        <v>23</v>
      </c>
      <c r="S56" s="20" t="s">
        <v>136</v>
      </c>
      <c r="T56" s="20" t="s">
        <v>136</v>
      </c>
      <c r="U56" s="19" t="s">
        <v>341</v>
      </c>
      <c r="V56" s="19" t="s">
        <v>611</v>
      </c>
      <c r="W56" s="19" t="s">
        <v>612</v>
      </c>
      <c r="X56" s="20" t="s">
        <v>140</v>
      </c>
      <c r="Y56" s="19" t="s">
        <v>613</v>
      </c>
      <c r="Z56" s="19" t="s">
        <v>614</v>
      </c>
      <c r="AA56" s="19" t="s">
        <v>615</v>
      </c>
      <c r="AB56" s="19" t="s">
        <v>616</v>
      </c>
      <c r="AC56" s="20"/>
      <c r="AD56" s="21" t="n">
        <f aca="false">INDEX(Methods!$D$2:$D$11,MATCH(Q56,Methods!$A$2:$A$11,0))</f>
        <v>30</v>
      </c>
      <c r="AE56" s="22" t="s">
        <v>145</v>
      </c>
      <c r="AF56" s="22"/>
      <c r="AG56" s="22"/>
      <c r="AH56" s="23"/>
      <c r="AI56" s="24"/>
      <c r="AJ56" s="25"/>
      <c r="AK56" s="22"/>
      <c r="AL56" s="18" t="s">
        <v>617</v>
      </c>
    </row>
    <row r="57" customFormat="false" ht="42" hidden="false" customHeight="true" outlineLevel="0" collapsed="false">
      <c r="A57" s="17" t="n">
        <v>456</v>
      </c>
      <c r="B57" s="18" t="s">
        <v>618</v>
      </c>
      <c r="C57" s="18" t="s">
        <v>619</v>
      </c>
      <c r="D57" s="18" t="s">
        <v>620</v>
      </c>
      <c r="E57" s="18" t="s">
        <v>124</v>
      </c>
      <c r="F57" s="18" t="s">
        <v>172</v>
      </c>
      <c r="G57" s="18" t="s">
        <v>173</v>
      </c>
      <c r="H57" s="17" t="s">
        <v>127</v>
      </c>
      <c r="I57" s="18" t="s">
        <v>128</v>
      </c>
      <c r="J57" s="18" t="s">
        <v>129</v>
      </c>
      <c r="K57" s="17" t="s">
        <v>130</v>
      </c>
      <c r="L57" s="17" t="s">
        <v>130</v>
      </c>
      <c r="M57" s="19" t="s">
        <v>174</v>
      </c>
      <c r="N57" s="19" t="s">
        <v>621</v>
      </c>
      <c r="O57" s="19"/>
      <c r="P57" s="19"/>
      <c r="Q57" s="20" t="s">
        <v>177</v>
      </c>
      <c r="R57" s="20" t="s">
        <v>23</v>
      </c>
      <c r="S57" s="20" t="s">
        <v>136</v>
      </c>
      <c r="T57" s="20" t="s">
        <v>136</v>
      </c>
      <c r="U57" s="19" t="s">
        <v>457</v>
      </c>
      <c r="V57" s="19" t="s">
        <v>622</v>
      </c>
      <c r="W57" s="19" t="s">
        <v>623</v>
      </c>
      <c r="X57" s="20" t="s">
        <v>181</v>
      </c>
      <c r="Y57" s="19" t="s">
        <v>624</v>
      </c>
      <c r="Z57" s="19" t="s">
        <v>224</v>
      </c>
      <c r="AA57" s="19" t="s">
        <v>625</v>
      </c>
      <c r="AB57" s="19" t="s">
        <v>626</v>
      </c>
      <c r="AC57" s="20"/>
      <c r="AD57" s="21" t="n">
        <f aca="false">INDEX(Methods!$D$2:$D$11,MATCH(Q57,Methods!$A$2:$A$11,0))</f>
        <v>0</v>
      </c>
      <c r="AE57" s="22" t="s">
        <v>145</v>
      </c>
      <c r="AF57" s="22"/>
      <c r="AG57" s="22"/>
      <c r="AH57" s="23"/>
      <c r="AI57" s="24"/>
      <c r="AJ57" s="25"/>
      <c r="AK57" s="22"/>
      <c r="AL57" s="18" t="s">
        <v>627</v>
      </c>
    </row>
  </sheetData>
  <mergeCells count="3">
    <mergeCell ref="A1:L1"/>
    <mergeCell ref="M1:AD1"/>
    <mergeCell ref="AE1:AK1"/>
  </mergeCells>
  <conditionalFormatting sqref="AE3:AE200">
    <cfRule type="cellIs" priority="2" operator="equal" aboveAverage="0" equalAverage="0" bottom="0" percent="0" rank="0" text="" dxfId="11">
      <formula>"Live"</formula>
    </cfRule>
    <cfRule type="cellIs" priority="3" operator="equal" aboveAverage="0" equalAverage="0" bottom="0" percent="0" rank="0" text="" dxfId="12">
      <formula>"Validating"</formula>
    </cfRule>
    <cfRule type="cellIs" priority="4" operator="equal" aboveAverage="0" equalAverage="0" bottom="0" percent="0" rank="0" text="" dxfId="12">
      <formula>"Prototype"</formula>
    </cfRule>
    <cfRule type="cellIs" priority="5" operator="equal" aboveAverage="0" equalAverage="0" bottom="0" percent="0" rank="0" text="" dxfId="13">
      <formula>"Exploring"</formula>
    </cfRule>
    <cfRule type="cellIs" priority="6" operator="equal" aboveAverage="0" equalAverage="0" bottom="0" percent="0" rank="0" text="" dxfId="14">
      <formula>"Parked"</formula>
    </cfRule>
  </conditionalFormatting>
  <conditionalFormatting sqref="R3:R200">
    <cfRule type="cellIs" priority="7" operator="equal" aboveAverage="0" equalAverage="0" bottom="0" percent="0" rank="0" text="" dxfId="11">
      <formula>"Full"</formula>
    </cfRule>
    <cfRule type="cellIs" priority="8" operator="equal" aboveAverage="0" equalAverage="0" bottom="0" percent="0" rank="0" text="" dxfId="12">
      <formula>"Partial"</formula>
    </cfRule>
    <cfRule type="cellIs" priority="9" operator="equal" aboveAverage="0" equalAverage="0" bottom="0" percent="0" rank="0" text="" dxfId="13">
      <formula>"Evidence"</formula>
    </cfRule>
    <cfRule type="cellIs" priority="10" operator="equal" aboveAverage="0" equalAverage="0" bottom="0" percent="0" rank="0" text="" dxfId="15">
      <formula>"Manual"</formula>
    </cfRule>
  </conditionalFormatting>
  <conditionalFormatting sqref="X3:X200">
    <cfRule type="cellIs" priority="11" operator="equal" aboveAverage="0" equalAverage="0" bottom="0" percent="0" rank="0" text="" dxfId="11">
      <formula>"Core"</formula>
    </cfRule>
    <cfRule type="cellIs" priority="12" operator="equal" aboveAverage="0" equalAverage="0" bottom="0" percent="0" rank="0" text="" dxfId="13">
      <formula>"Helps"</formula>
    </cfRule>
    <cfRule type="cellIs" priority="13" operator="equal" aboveAverage="0" equalAverage="0" bottom="0" percent="0" rank="0" text="" dxfId="14">
      <formula>"No"</formula>
    </cfRule>
  </conditionalFormatting>
  <conditionalFormatting sqref="U3:U200">
    <cfRule type="cellIs" priority="14" operator="equal" aboveAverage="0" equalAverage="0" bottom="0" percent="0" rank="0" text="" dxfId="11">
      <formula>"Gyro + Gemini: appearance"</formula>
    </cfRule>
    <cfRule type="cellIs" priority="15" operator="equal" aboveAverage="0" equalAverage="0" bottom="0" percent="0" rank="0" text="" dxfId="11">
      <formula>"Gyro + Gemini: geometry"</formula>
    </cfRule>
    <cfRule type="cellIs" priority="16" operator="equal" aboveAverage="0" equalAverage="0" bottom="0" percent="0" rank="0" text="" dxfId="11">
      <formula>"Gyro + Gemini: height"</formula>
    </cfRule>
    <cfRule type="cellIs" priority="17" operator="equal" aboveAverage="0" equalAverage="0" bottom="0" percent="0" rank="0" text="" dxfId="11">
      <formula>"Gyro + Gemini: known object as scale"</formula>
    </cfRule>
    <cfRule type="cellIs" priority="18" operator="equal" aboveAverage="0" equalAverage="0" bottom="0" percent="0" rank="0" text="" dxfId="12">
      <formula>"New action: phone IMU"</formula>
    </cfRule>
    <cfRule type="cellIs" priority="19" operator="equal" aboveAverage="0" equalAverage="0" bottom="0" percent="0" rank="0" text="" dxfId="12">
      <formula>"New action: photo with tape or tool"</formula>
    </cfRule>
    <cfRule type="cellIs" priority="20" operator="equal" aboveAverage="0" equalAverage="0" bottom="0" percent="0" rank="0" text="" dxfId="12">
      <formula>"New action: short video"</formula>
    </cfRule>
    <cfRule type="cellIs" priority="21" operator="equal" aboveAverage="0" equalAverage="0" bottom="0" percent="0" rank="0" text="" dxfId="14">
      <formula>"Not a QC"</formula>
    </cfRule>
    <cfRule type="cellIs" priority="22" operator="equal" aboveAverage="0" equalAverage="0" bottom="0" percent="0" rank="0" text="" dxfId="15">
      <formula>"To be decided"</formula>
    </cfRule>
  </conditionalFormatting>
  <conditionalFormatting sqref="T3:T200">
    <cfRule type="cellIs" priority="23" operator="equal" aboveAverage="0" equalAverage="0" bottom="0" percent="0" rank="0" text="" dxfId="11">
      <formula>"High"</formula>
    </cfRule>
    <cfRule type="cellIs" priority="24" operator="equal" aboveAverage="0" equalAverage="0" bottom="0" percent="0" rank="0" text="" dxfId="12">
      <formula>"Medium"</formula>
    </cfRule>
    <cfRule type="cellIs" priority="25" operator="equal" aboveAverage="0" equalAverage="0" bottom="0" percent="0" rank="0" text="" dxfId="15">
      <formula>"Low"</formula>
    </cfRule>
  </conditionalFormatting>
  <dataValidations count="7">
    <dataValidation allowBlank="true" error="Pick a value from the list." errorStyle="stop" errorTitle="Not in list" operator="between" showDropDown="false" showErrorMessage="false" showInputMessage="false" sqref="AE3:AE200" type="list">
      <formula1>"Not started,Exploring,Prototype,Validating,Live,Parked"</formula1>
      <formula2>0</formula2>
    </dataValidation>
    <dataValidation allowBlank="true" error="Pick a value from the list." errorStyle="stop" errorTitle="Not in list" operator="between" showDropDown="false" showErrorMessage="false" showInputMessage="false" sqref="R3:R200" type="list">
      <formula1>"Full,Partial,Evidence,Manual"</formula1>
      <formula2>0</formula2>
    </dataValidation>
    <dataValidation allowBlank="true" error="Pick a value from the list." errorStyle="stop" errorTitle="Not in list" operator="between" showDropDown="false" showErrorMessage="false" showInputMessage="false" sqref="S3:S200" type="list">
      <formula1>"High,Medium,Low"</formula1>
      <formula2>0</formula2>
    </dataValidation>
    <dataValidation allowBlank="true" error="Pick a value from the list." errorStyle="stop" errorTitle="Not in list" operator="between" showDropDown="false" showErrorMessage="false" showInputMessage="false" sqref="Q3:Q200" type="list">
      <formula1>Methods!$A$2:$A$11</formula1>
      <formula2>0</formula2>
    </dataValidation>
    <dataValidation allowBlank="true" error="Pick a value from the list." errorStyle="stop" errorTitle="Not in list" operator="between" showDropDown="false" showErrorMessage="false" showInputMessage="false" sqref="X3:X200" type="list">
      <formula1>"Core,Helps,No"</formula1>
      <formula2>0</formula2>
    </dataValidation>
    <dataValidation allowBlank="true" error="Pick a value from the list." errorStyle="stop" errorTitle="Not in list" operator="between" showDropDown="false" showErrorMessage="false" showInputMessage="false" sqref="T3:T200" type="list">
      <formula1>"High,Medium,Low"</formula1>
      <formula2>0</formula2>
    </dataValidation>
    <dataValidation allowBlank="true" error="Pick a value from the list." errorStyle="stop" errorTitle="Not in list" operator="between" showDropDown="false" showErrorMessage="false" showInputMessage="false" sqref="U3:U200" type="list">
      <formula1>"Gyro + Gemini: appearance,Gyro + Gemini: geometry,Gyro + Gemini: height,Gyro + Gemini: known object as scale,New action: phone IMU,New action: photo with tape or tool,New action: short video,Not a QC,To be decided"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40"/>
    <col collapsed="false" customWidth="true" hidden="false" outlineLevel="0" max="4" min="4" style="0" width="12"/>
    <col collapsed="false" customWidth="true" hidden="false" outlineLevel="0" max="5" min="5" style="0" width="44"/>
    <col collapsed="false" customWidth="true" hidden="false" outlineLevel="0" max="7" min="6" style="0" width="10"/>
    <col collapsed="false" customWidth="true" hidden="false" outlineLevel="0" max="8" min="8" style="0" width="50"/>
  </cols>
  <sheetData>
    <row r="1" customFormat="false" ht="31.5" hidden="false" customHeight="true" outlineLevel="0" collapsed="false">
      <c r="A1" s="16" t="s">
        <v>628</v>
      </c>
      <c r="B1" s="16" t="s">
        <v>629</v>
      </c>
      <c r="C1" s="16" t="s">
        <v>630</v>
      </c>
      <c r="D1" s="16" t="s">
        <v>631</v>
      </c>
      <c r="E1" s="16" t="s">
        <v>632</v>
      </c>
      <c r="F1" s="16" t="s">
        <v>633</v>
      </c>
      <c r="G1" s="16" t="s">
        <v>634</v>
      </c>
      <c r="H1" s="16" t="s">
        <v>635</v>
      </c>
    </row>
    <row r="2" customFormat="false" ht="42" hidden="false" customHeight="true" outlineLevel="0" collapsed="false">
      <c r="A2" s="26" t="s">
        <v>340</v>
      </c>
      <c r="B2" s="19" t="s">
        <v>636</v>
      </c>
      <c r="C2" s="19" t="s">
        <v>637</v>
      </c>
      <c r="D2" s="27" t="n">
        <v>0</v>
      </c>
      <c r="E2" s="19" t="s">
        <v>638</v>
      </c>
      <c r="F2" s="28" t="s">
        <v>639</v>
      </c>
      <c r="G2" s="29" t="n">
        <f aca="false">COUNTIF('QC Tracker'!$Q$3:$Q$200,A2)</f>
        <v>8</v>
      </c>
      <c r="H2" s="19" t="s">
        <v>640</v>
      </c>
    </row>
    <row r="3" customFormat="false" ht="42" hidden="false" customHeight="true" outlineLevel="0" collapsed="false">
      <c r="A3" s="26" t="s">
        <v>177</v>
      </c>
      <c r="B3" s="19" t="s">
        <v>641</v>
      </c>
      <c r="C3" s="19" t="s">
        <v>642</v>
      </c>
      <c r="D3" s="27" t="n">
        <v>0</v>
      </c>
      <c r="E3" s="19" t="s">
        <v>643</v>
      </c>
      <c r="F3" s="28" t="s">
        <v>644</v>
      </c>
      <c r="G3" s="29" t="n">
        <f aca="false">COUNTIF('QC Tracker'!$Q$3:$Q$200,A3)</f>
        <v>19</v>
      </c>
      <c r="H3" s="19" t="s">
        <v>645</v>
      </c>
    </row>
    <row r="4" customFormat="false" ht="29.25" hidden="false" customHeight="true" outlineLevel="0" collapsed="false">
      <c r="A4" s="26" t="s">
        <v>134</v>
      </c>
      <c r="B4" s="19" t="s">
        <v>646</v>
      </c>
      <c r="C4" s="19" t="s">
        <v>647</v>
      </c>
      <c r="D4" s="27" t="n">
        <v>0</v>
      </c>
      <c r="E4" s="19" t="s">
        <v>648</v>
      </c>
      <c r="F4" s="28" t="s">
        <v>639</v>
      </c>
      <c r="G4" s="29" t="n">
        <f aca="false">COUNTIF('QC Tracker'!$Q$3:$Q$200,A4)</f>
        <v>14</v>
      </c>
      <c r="H4" s="19" t="s">
        <v>649</v>
      </c>
    </row>
    <row r="5" customFormat="false" ht="29.25" hidden="false" customHeight="true" outlineLevel="0" collapsed="false">
      <c r="A5" s="26" t="s">
        <v>447</v>
      </c>
      <c r="B5" s="19" t="s">
        <v>650</v>
      </c>
      <c r="C5" s="19" t="s">
        <v>651</v>
      </c>
      <c r="D5" s="27" t="n">
        <v>0</v>
      </c>
      <c r="E5" s="19" t="s">
        <v>652</v>
      </c>
      <c r="F5" s="28" t="s">
        <v>639</v>
      </c>
      <c r="G5" s="29" t="n">
        <f aca="false">COUNTIF('QC Tracker'!$Q$3:$Q$200,A5)</f>
        <v>1</v>
      </c>
      <c r="H5" s="19" t="s">
        <v>653</v>
      </c>
    </row>
    <row r="6" customFormat="false" ht="29.25" hidden="false" customHeight="true" outlineLevel="0" collapsed="false">
      <c r="A6" s="26" t="s">
        <v>379</v>
      </c>
      <c r="B6" s="19" t="s">
        <v>654</v>
      </c>
      <c r="C6" s="19" t="s">
        <v>655</v>
      </c>
      <c r="D6" s="27" t="n">
        <v>30</v>
      </c>
      <c r="E6" s="19" t="s">
        <v>656</v>
      </c>
      <c r="F6" s="28" t="s">
        <v>657</v>
      </c>
      <c r="G6" s="29" t="n">
        <f aca="false">COUNTIF('QC Tracker'!$Q$3:$Q$200,A6)</f>
        <v>4</v>
      </c>
      <c r="H6" s="19" t="s">
        <v>658</v>
      </c>
    </row>
    <row r="7" customFormat="false" ht="29.25" hidden="false" customHeight="true" outlineLevel="0" collapsed="false">
      <c r="A7" s="26" t="s">
        <v>435</v>
      </c>
      <c r="B7" s="19" t="s">
        <v>659</v>
      </c>
      <c r="C7" s="19" t="s">
        <v>660</v>
      </c>
      <c r="D7" s="27" t="n">
        <v>20</v>
      </c>
      <c r="E7" s="19" t="s">
        <v>661</v>
      </c>
      <c r="F7" s="28" t="s">
        <v>657</v>
      </c>
      <c r="G7" s="29" t="n">
        <f aca="false">COUNTIF('QC Tracker'!$Q$3:$Q$200,A7)</f>
        <v>1</v>
      </c>
      <c r="H7" s="19" t="s">
        <v>662</v>
      </c>
    </row>
    <row r="8" customFormat="false" ht="29.25" hidden="false" customHeight="true" outlineLevel="0" collapsed="false">
      <c r="A8" s="26" t="s">
        <v>663</v>
      </c>
      <c r="B8" s="19" t="s">
        <v>664</v>
      </c>
      <c r="C8" s="19" t="s">
        <v>665</v>
      </c>
      <c r="D8" s="27" t="n">
        <v>30</v>
      </c>
      <c r="E8" s="19" t="s">
        <v>666</v>
      </c>
      <c r="F8" s="28" t="s">
        <v>639</v>
      </c>
      <c r="G8" s="29" t="n">
        <f aca="false">COUNTIF('QC Tracker'!$Q$3:$Q$200,A8)</f>
        <v>0</v>
      </c>
      <c r="H8" s="19" t="s">
        <v>667</v>
      </c>
    </row>
    <row r="9" customFormat="false" ht="42" hidden="false" customHeight="true" outlineLevel="0" collapsed="false">
      <c r="A9" s="26" t="s">
        <v>294</v>
      </c>
      <c r="B9" s="19" t="s">
        <v>668</v>
      </c>
      <c r="C9" s="19" t="s">
        <v>669</v>
      </c>
      <c r="D9" s="27" t="n">
        <v>120</v>
      </c>
      <c r="E9" s="19" t="s">
        <v>670</v>
      </c>
      <c r="F9" s="28" t="s">
        <v>639</v>
      </c>
      <c r="G9" s="29" t="n">
        <f aca="false">COUNTIF('QC Tracker'!$Q$3:$Q$200,A9)</f>
        <v>3</v>
      </c>
      <c r="H9" s="19" t="s">
        <v>671</v>
      </c>
    </row>
    <row r="10" customFormat="false" ht="42" hidden="false" customHeight="true" outlineLevel="0" collapsed="false">
      <c r="A10" s="26" t="s">
        <v>244</v>
      </c>
      <c r="B10" s="19" t="s">
        <v>672</v>
      </c>
      <c r="C10" s="19" t="s">
        <v>673</v>
      </c>
      <c r="D10" s="27" t="n">
        <v>10</v>
      </c>
      <c r="E10" s="19" t="s">
        <v>674</v>
      </c>
      <c r="F10" s="28" t="s">
        <v>657</v>
      </c>
      <c r="G10" s="29" t="n">
        <f aca="false">COUNTIF('QC Tracker'!$Q$3:$Q$200,A10)</f>
        <v>3</v>
      </c>
      <c r="H10" s="19" t="s">
        <v>675</v>
      </c>
    </row>
    <row r="11" customFormat="false" ht="29.25" hidden="false" customHeight="true" outlineLevel="0" collapsed="false">
      <c r="A11" s="26" t="s">
        <v>320</v>
      </c>
      <c r="B11" s="19" t="s">
        <v>676</v>
      </c>
      <c r="C11" s="19" t="s">
        <v>677</v>
      </c>
      <c r="D11" s="27" t="n">
        <v>60</v>
      </c>
      <c r="E11" s="19" t="s">
        <v>678</v>
      </c>
      <c r="F11" s="28" t="s">
        <v>657</v>
      </c>
      <c r="G11" s="29" t="n">
        <f aca="false">COUNTIF('QC Tracker'!$Q$3:$Q$200,A11)</f>
        <v>2</v>
      </c>
      <c r="H11" s="19" t="s">
        <v>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3" min="3" style="0" width="16"/>
    <col collapsed="false" customWidth="true" hidden="false" outlineLevel="0" max="4" min="4" style="0" width="20"/>
    <col collapsed="false" customWidth="true" hidden="false" outlineLevel="0" max="5" min="5" style="0" width="40"/>
    <col collapsed="false" customWidth="true" hidden="false" outlineLevel="0" max="7" min="6" style="0" width="11"/>
    <col collapsed="false" customWidth="true" hidden="false" outlineLevel="0" max="8" min="8" style="0" width="12"/>
    <col collapsed="false" customWidth="true" hidden="false" outlineLevel="0" max="9" min="9" style="0" width="9"/>
  </cols>
  <sheetData>
    <row r="1" customFormat="false" ht="17.35" hidden="false" customHeight="false" outlineLevel="0" collapsed="false">
      <c r="A1" s="30" t="s">
        <v>680</v>
      </c>
    </row>
    <row r="2" customFormat="false" ht="15" hidden="false" customHeight="false" outlineLevel="0" collapsed="false">
      <c r="A2" s="10" t="s">
        <v>681</v>
      </c>
    </row>
    <row r="4" customFormat="false" ht="15" hidden="false" customHeight="false" outlineLevel="0" collapsed="false">
      <c r="A4" s="16" t="s">
        <v>682</v>
      </c>
      <c r="B4" s="16" t="s">
        <v>683</v>
      </c>
      <c r="D4" s="16" t="s">
        <v>113</v>
      </c>
      <c r="E4" s="16" t="s">
        <v>684</v>
      </c>
      <c r="F4" s="16" t="s">
        <v>685</v>
      </c>
    </row>
    <row r="5" customFormat="false" ht="15" hidden="false" customHeight="false" outlineLevel="0" collapsed="false">
      <c r="A5" s="19" t="s">
        <v>686</v>
      </c>
      <c r="B5" s="31" t="n">
        <f aca="false">COUNTA('QC Tracker'!$A$3:$A$200)</f>
        <v>55</v>
      </c>
      <c r="D5" s="19" t="s">
        <v>145</v>
      </c>
      <c r="E5" s="31" t="n">
        <f aca="false">COUNTIF('QC Tracker'!$AE$3:$AE$200,D5)</f>
        <v>55</v>
      </c>
      <c r="F5" s="32" t="n">
        <f aca="false">IF($B$5=0,0,E5/$B$5)</f>
        <v>1</v>
      </c>
    </row>
    <row r="6" customFormat="false" ht="23.85" hidden="false" customHeight="false" outlineLevel="0" collapsed="false">
      <c r="A6" s="19" t="s">
        <v>687</v>
      </c>
      <c r="B6" s="31" t="n">
        <f aca="false">COUNTA('QC Tracker'!$A$3:$A$200)-COUNTA('QC Tracker'!$AC$3:$AC$200)</f>
        <v>42</v>
      </c>
      <c r="D6" s="19" t="s">
        <v>688</v>
      </c>
      <c r="E6" s="31" t="n">
        <f aca="false">COUNTIF('QC Tracker'!$AE$3:$AE$200,D6)</f>
        <v>0</v>
      </c>
      <c r="F6" s="32" t="n">
        <f aca="false">IF($B$5=0,0,E6/$B$5)</f>
        <v>0</v>
      </c>
    </row>
    <row r="7" customFormat="false" ht="15" hidden="false" customHeight="false" outlineLevel="0" collapsed="false">
      <c r="A7" s="19" t="s">
        <v>689</v>
      </c>
      <c r="B7" s="31" t="n">
        <f aca="false">SUMPRODUCT((LEFT('QC Tracker'!$Q$3:$Q$200,2)="G-")*1)</f>
        <v>42</v>
      </c>
      <c r="D7" s="19" t="s">
        <v>690</v>
      </c>
      <c r="E7" s="31" t="n">
        <f aca="false">COUNTIF('QC Tracker'!$AE$3:$AE$200,D7)</f>
        <v>0</v>
      </c>
      <c r="F7" s="32" t="n">
        <f aca="false">IF($B$5=0,0,E7/$B$5)</f>
        <v>0</v>
      </c>
    </row>
    <row r="8" customFormat="false" ht="15" hidden="false" customHeight="false" outlineLevel="0" collapsed="false">
      <c r="A8" s="19" t="s">
        <v>691</v>
      </c>
      <c r="B8" s="32" t="n">
        <f aca="false">IF(B5=0,0,B7/B5)</f>
        <v>0.763636363636364</v>
      </c>
      <c r="D8" s="19" t="s">
        <v>692</v>
      </c>
      <c r="E8" s="31" t="n">
        <f aca="false">COUNTIF('QC Tracker'!$AE$3:$AE$200,D8)</f>
        <v>0</v>
      </c>
      <c r="F8" s="32" t="n">
        <f aca="false">IF($B$5=0,0,E8/$B$5)</f>
        <v>0</v>
      </c>
    </row>
    <row r="9" customFormat="false" ht="15" hidden="false" customHeight="false" outlineLevel="0" collapsed="false">
      <c r="A9" s="19" t="s">
        <v>693</v>
      </c>
      <c r="B9" s="31" t="n">
        <f aca="false">COUNTIF('QC Tracker'!$G$3:$G$200,"CRITICAL")</f>
        <v>27</v>
      </c>
      <c r="D9" s="19" t="s">
        <v>694</v>
      </c>
      <c r="E9" s="31" t="n">
        <f aca="false">COUNTIF('QC Tracker'!$AE$3:$AE$200,D9)</f>
        <v>0</v>
      </c>
      <c r="F9" s="32" t="n">
        <f aca="false">IF($B$5=0,0,E9/$B$5)</f>
        <v>0</v>
      </c>
    </row>
    <row r="10" customFormat="false" ht="15" hidden="false" customHeight="false" outlineLevel="0" collapsed="false">
      <c r="A10" s="19" t="s">
        <v>695</v>
      </c>
      <c r="B10" s="31" t="n">
        <f aca="false">COUNTIFS('QC Tracker'!$G$3:$G$200,"CRITICAL",'QC Tracker'!$R$3:$R$200,"Full")</f>
        <v>7</v>
      </c>
      <c r="D10" s="19" t="s">
        <v>696</v>
      </c>
      <c r="E10" s="31" t="n">
        <f aca="false">COUNTIF('QC Tracker'!$AE$3:$AE$200,D10)</f>
        <v>0</v>
      </c>
      <c r="F10" s="32" t="n">
        <f aca="false">IF($B$5=0,0,E10/$B$5)</f>
        <v>0</v>
      </c>
    </row>
    <row r="11" customFormat="false" ht="15" hidden="false" customHeight="false" outlineLevel="0" collapsed="false">
      <c r="A11" s="19" t="s">
        <v>697</v>
      </c>
      <c r="B11" s="31" t="n">
        <f aca="false">COUNTIF('QC Tracker'!$H$3:$H$200,"Yes")</f>
        <v>5</v>
      </c>
      <c r="D11" s="26" t="s">
        <v>698</v>
      </c>
      <c r="E11" s="31" t="n">
        <f aca="false">SUM(E5:E10)</f>
        <v>55</v>
      </c>
      <c r="F11" s="32" t="n">
        <f aca="false">IF($B$5=0,0,E11/$B$5)</f>
        <v>1</v>
      </c>
    </row>
    <row r="12" customFormat="false" ht="15" hidden="false" customHeight="false" outlineLevel="0" collapsed="false">
      <c r="A12" s="19" t="s">
        <v>699</v>
      </c>
      <c r="B12" s="31" t="n">
        <f aca="false">COUNTIFS('QC Tracker'!$H$3:$H$200,"Yes",'QC Tracker'!$R$3:$R$200,"Full")+COUNTIFS('QC Tracker'!$H$3:$H$200,"Yes",'QC Tracker'!$R$3:$R$200,"Evidence")</f>
        <v>5</v>
      </c>
    </row>
    <row r="13" customFormat="false" ht="23.85" hidden="false" customHeight="false" outlineLevel="0" collapsed="false">
      <c r="A13" s="19" t="s">
        <v>700</v>
      </c>
      <c r="B13" s="31" t="n">
        <f aca="false">SUM('QC Tracker'!$AD$3:$AD$200)</f>
        <v>650</v>
      </c>
      <c r="D13" s="16" t="s">
        <v>103</v>
      </c>
      <c r="E13" s="16" t="s">
        <v>684</v>
      </c>
      <c r="F13" s="16" t="s">
        <v>701</v>
      </c>
      <c r="G13" s="16" t="s">
        <v>702</v>
      </c>
    </row>
    <row r="14" customFormat="false" ht="15" hidden="false" customHeight="false" outlineLevel="0" collapsed="false">
      <c r="A14" s="19" t="s">
        <v>703</v>
      </c>
      <c r="B14" s="33" t="n">
        <f aca="false">B13/60</f>
        <v>10.8333333333333</v>
      </c>
      <c r="D14" s="19" t="s">
        <v>23</v>
      </c>
      <c r="E14" s="31" t="n">
        <f aca="false">COUNTIF('QC Tracker'!$R$3:$R$200,D14)</f>
        <v>18</v>
      </c>
      <c r="F14" s="31" t="n">
        <f aca="false">COUNTIFS('QC Tracker'!$R$3:$R$200,D14,'QC Tracker'!$G$3:$G$200,"CRITICAL")</f>
        <v>7</v>
      </c>
      <c r="G14" s="31" t="n">
        <f aca="false">COUNTIFS('QC Tracker'!$R$3:$R$200,D14,'QC Tracker'!$H$3:$H$200,"Yes")</f>
        <v>2</v>
      </c>
    </row>
    <row r="15" customFormat="false" ht="15" hidden="false" customHeight="false" outlineLevel="0" collapsed="false">
      <c r="A15" s="19" t="s">
        <v>704</v>
      </c>
      <c r="B15" s="31" t="n">
        <f aca="false">COUNTIF('QC Tracker'!$AE$3:$AE$200,"Live")</f>
        <v>0</v>
      </c>
      <c r="D15" s="19" t="s">
        <v>25</v>
      </c>
      <c r="E15" s="31" t="n">
        <f aca="false">COUNTIF('QC Tracker'!$R$3:$R$200,D15)</f>
        <v>32</v>
      </c>
      <c r="F15" s="31" t="n">
        <f aca="false">COUNTIFS('QC Tracker'!$R$3:$R$200,D15,'QC Tracker'!$G$3:$G$200,"CRITICAL")</f>
        <v>15</v>
      </c>
      <c r="G15" s="31" t="n">
        <f aca="false">COUNTIFS('QC Tracker'!$R$3:$R$200,D15,'QC Tracker'!$H$3:$H$200,"Yes")</f>
        <v>0</v>
      </c>
    </row>
    <row r="16" customFormat="false" ht="15" hidden="false" customHeight="false" outlineLevel="0" collapsed="false">
      <c r="A16" s="19" t="s">
        <v>705</v>
      </c>
      <c r="B16" s="32" t="n">
        <f aca="false">IF(B5=0,0,B15/B5)</f>
        <v>0</v>
      </c>
      <c r="D16" s="19" t="s">
        <v>27</v>
      </c>
      <c r="E16" s="31" t="n">
        <f aca="false">COUNTIF('QC Tracker'!$R$3:$R$200,D16)</f>
        <v>4</v>
      </c>
      <c r="F16" s="31" t="n">
        <f aca="false">COUNTIFS('QC Tracker'!$R$3:$R$200,D16,'QC Tracker'!$G$3:$G$200,"CRITICAL")</f>
        <v>4</v>
      </c>
      <c r="G16" s="31" t="n">
        <f aca="false">COUNTIFS('QC Tracker'!$R$3:$R$200,D16,'QC Tracker'!$H$3:$H$200,"Yes")</f>
        <v>3</v>
      </c>
    </row>
    <row r="17" customFormat="false" ht="15" hidden="false" customHeight="false" outlineLevel="0" collapsed="false">
      <c r="D17" s="19" t="s">
        <v>29</v>
      </c>
      <c r="E17" s="31" t="n">
        <f aca="false">COUNTIF('QC Tracker'!$R$3:$R$200,D17)</f>
        <v>1</v>
      </c>
      <c r="F17" s="31" t="n">
        <f aca="false">COUNTIFS('QC Tracker'!$R$3:$R$200,D17,'QC Tracker'!$G$3:$G$200,"CRITICAL")</f>
        <v>1</v>
      </c>
      <c r="G17" s="31" t="n">
        <f aca="false">COUNTIFS('QC Tracker'!$R$3:$R$200,D17,'QC Tracker'!$H$3:$H$200,"Yes")</f>
        <v>0</v>
      </c>
    </row>
    <row r="18" customFormat="false" ht="15" hidden="false" customHeight="false" outlineLevel="0" collapsed="false">
      <c r="D18" s="26" t="s">
        <v>698</v>
      </c>
      <c r="E18" s="31" t="n">
        <f aca="false">SUM(E14:E17)</f>
        <v>55</v>
      </c>
      <c r="F18" s="31" t="n">
        <f aca="false">SUM(F14:F17)</f>
        <v>27</v>
      </c>
      <c r="G18" s="31" t="n">
        <f aca="false">SUM(G14:G17)</f>
        <v>5</v>
      </c>
    </row>
    <row r="19" customFormat="false" ht="15" hidden="false" customHeight="false" outlineLevel="0" collapsed="false">
      <c r="A19" s="16" t="s">
        <v>102</v>
      </c>
      <c r="B19" s="16" t="s">
        <v>684</v>
      </c>
      <c r="C19" s="16" t="s">
        <v>706</v>
      </c>
    </row>
    <row r="20" customFormat="false" ht="15" hidden="false" customHeight="false" outlineLevel="0" collapsed="false">
      <c r="A20" s="34" t="str">
        <f aca="false">Methods!A2</f>
        <v>G-VIS</v>
      </c>
      <c r="B20" s="31" t="n">
        <f aca="false">COUNTIF('QC Tracker'!$Q$3:$Q$200,A20)</f>
        <v>8</v>
      </c>
      <c r="C20" s="31" t="n">
        <f aca="false">SUMIF('QC Tracker'!$Q$3:$Q$200,A20,'QC Tracker'!$AD$3:$AD$200)</f>
        <v>0</v>
      </c>
    </row>
    <row r="21" customFormat="false" ht="15" hidden="false" customHeight="false" outlineLevel="0" collapsed="false">
      <c r="A21" s="34" t="str">
        <f aca="false">Methods!A3</f>
        <v>G-GEO</v>
      </c>
      <c r="B21" s="31" t="n">
        <f aca="false">COUNTIF('QC Tracker'!$Q$3:$Q$200,A21)</f>
        <v>19</v>
      </c>
      <c r="C21" s="31" t="n">
        <f aca="false">SUMIF('QC Tracker'!$Q$3:$Q$200,A21,'QC Tracker'!$AD$3:$AD$200)</f>
        <v>0</v>
      </c>
      <c r="D21" s="16" t="s">
        <v>31</v>
      </c>
      <c r="E21" s="16" t="s">
        <v>684</v>
      </c>
    </row>
    <row r="22" customFormat="false" ht="15" hidden="false" customHeight="false" outlineLevel="0" collapsed="false">
      <c r="A22" s="34" t="str">
        <f aca="false">Methods!A4</f>
        <v>G-PLUMB</v>
      </c>
      <c r="B22" s="31" t="n">
        <f aca="false">COUNTIF('QC Tracker'!$Q$3:$Q$200,A22)</f>
        <v>14</v>
      </c>
      <c r="C22" s="31" t="n">
        <f aca="false">SUMIF('QC Tracker'!$Q$3:$Q$200,A22,'QC Tracker'!$AD$3:$AD$200)</f>
        <v>0</v>
      </c>
      <c r="D22" s="19" t="s">
        <v>136</v>
      </c>
      <c r="E22" s="31" t="n">
        <f aca="false">COUNTIF('QC Tracker'!$S$3:$S$200,D22)</f>
        <v>16</v>
      </c>
    </row>
    <row r="23" customFormat="false" ht="15" hidden="false" customHeight="false" outlineLevel="0" collapsed="false">
      <c r="A23" s="34" t="str">
        <f aca="false">Methods!A5</f>
        <v>G-FLOOR</v>
      </c>
      <c r="B23" s="31" t="n">
        <f aca="false">COUNTIF('QC Tracker'!$Q$3:$Q$200,A23)</f>
        <v>1</v>
      </c>
      <c r="C23" s="31" t="n">
        <f aca="false">SUMIF('QC Tracker'!$Q$3:$Q$200,A23,'QC Tracker'!$AD$3:$AD$200)</f>
        <v>0</v>
      </c>
      <c r="D23" s="19" t="s">
        <v>135</v>
      </c>
      <c r="E23" s="31" t="n">
        <f aca="false">COUNTIF('QC Tracker'!$S$3:$S$200,D23)</f>
        <v>33</v>
      </c>
    </row>
    <row r="24" customFormat="false" ht="15" hidden="false" customHeight="false" outlineLevel="0" collapsed="false">
      <c r="A24" s="34" t="str">
        <f aca="false">Methods!A6</f>
        <v>TAP</v>
      </c>
      <c r="B24" s="31" t="n">
        <f aca="false">COUNTIF('QC Tracker'!$Q$3:$Q$200,A24)</f>
        <v>4</v>
      </c>
      <c r="C24" s="31" t="n">
        <f aca="false">SUMIF('QC Tracker'!$Q$3:$Q$200,A24,'QC Tracker'!$AD$3:$AD$200)</f>
        <v>120</v>
      </c>
      <c r="D24" s="19" t="s">
        <v>153</v>
      </c>
      <c r="E24" s="31" t="n">
        <f aca="false">COUNTIF('QC Tracker'!$S$3:$S$200,D24)</f>
        <v>6</v>
      </c>
    </row>
    <row r="25" customFormat="false" ht="15" hidden="false" customHeight="false" outlineLevel="0" collapsed="false">
      <c r="A25" s="34" t="str">
        <f aca="false">Methods!A7</f>
        <v>IMU</v>
      </c>
      <c r="B25" s="31" t="n">
        <f aca="false">COUNTIF('QC Tracker'!$Q$3:$Q$200,A25)</f>
        <v>1</v>
      </c>
      <c r="C25" s="31" t="n">
        <f aca="false">SUMIF('QC Tracker'!$Q$3:$Q$200,A25,'QC Tracker'!$AD$3:$AD$200)</f>
        <v>20</v>
      </c>
    </row>
    <row r="26" customFormat="false" ht="15" hidden="false" customHeight="false" outlineLevel="0" collapsed="false">
      <c r="A26" s="34" t="str">
        <f aca="false">Methods!A8</f>
        <v>BT-TOOL</v>
      </c>
      <c r="B26" s="31" t="n">
        <f aca="false">COUNTIF('QC Tracker'!$Q$3:$Q$200,A26)</f>
        <v>0</v>
      </c>
      <c r="C26" s="31" t="n">
        <f aca="false">SUMIF('QC Tracker'!$Q$3:$Q$200,A26,'QC Tracker'!$AD$3:$AD$200)</f>
        <v>0</v>
      </c>
    </row>
    <row r="27" customFormat="false" ht="23.85" hidden="false" customHeight="false" outlineLevel="0" collapsed="false">
      <c r="A27" s="34" t="str">
        <f aca="false">Methods!A9</f>
        <v>EXT</v>
      </c>
      <c r="B27" s="31" t="n">
        <f aca="false">COUNTIF('QC Tracker'!$Q$3:$Q$200,A27)</f>
        <v>3</v>
      </c>
      <c r="C27" s="31" t="n">
        <f aca="false">SUMIF('QC Tracker'!$Q$3:$Q$200,A27,'QC Tracker'!$AD$3:$AD$200)</f>
        <v>360</v>
      </c>
      <c r="E27" s="16" t="s">
        <v>87</v>
      </c>
      <c r="F27" s="16" t="s">
        <v>684</v>
      </c>
      <c r="G27" s="16" t="s">
        <v>707</v>
      </c>
      <c r="H27" s="16" t="s">
        <v>708</v>
      </c>
      <c r="I27" s="16" t="s">
        <v>694</v>
      </c>
    </row>
    <row r="28" customFormat="false" ht="23.85" hidden="false" customHeight="false" outlineLevel="0" collapsed="false">
      <c r="A28" s="34" t="str">
        <f aca="false">Methods!A10</f>
        <v>ATTEST</v>
      </c>
      <c r="B28" s="31" t="n">
        <f aca="false">COUNTIF('QC Tracker'!$Q$3:$Q$200,A28)</f>
        <v>3</v>
      </c>
      <c r="C28" s="31" t="n">
        <f aca="false">SUMIF('QC Tracker'!$Q$3:$Q$200,A28,'QC Tracker'!$AD$3:$AD$200)</f>
        <v>30</v>
      </c>
      <c r="E28" s="19" t="s">
        <v>121</v>
      </c>
      <c r="F28" s="31" t="n">
        <f aca="false">COUNTIF('QC Tracker'!$B$3:$B$200,E28)</f>
        <v>10</v>
      </c>
      <c r="G28" s="31" t="n">
        <f aca="false">COUNTIFS('QC Tracker'!$B$3:$B$200,E28,'QC Tracker'!$G$3:$G$200,"CRITICAL")</f>
        <v>4</v>
      </c>
      <c r="H28" s="31" t="n">
        <f aca="false">COUNTIFS('QC Tracker'!$B$3:$B$200,E28,'QC Tracker'!$R$3:$R$200,"Full")</f>
        <v>2</v>
      </c>
      <c r="I28" s="31" t="n">
        <f aca="false">COUNTIFS('QC Tracker'!$B$3:$B$200,E28,'QC Tracker'!$AE$3:$AE$200,"Live")</f>
        <v>0</v>
      </c>
    </row>
    <row r="29" customFormat="false" ht="15" hidden="false" customHeight="false" outlineLevel="0" collapsed="false">
      <c r="A29" s="34" t="str">
        <f aca="false">Methods!A11</f>
        <v>MANUAL</v>
      </c>
      <c r="B29" s="31" t="n">
        <f aca="false">COUNTIF('QC Tracker'!$Q$3:$Q$200,A29)</f>
        <v>2</v>
      </c>
      <c r="C29" s="31" t="n">
        <f aca="false">SUMIF('QC Tracker'!$Q$3:$Q$200,A29,'QC Tracker'!$AD$3:$AD$200)</f>
        <v>120</v>
      </c>
      <c r="E29" s="19" t="s">
        <v>253</v>
      </c>
      <c r="F29" s="31" t="n">
        <f aca="false">COUNTIF('QC Tracker'!$B$3:$B$200,E29)</f>
        <v>6</v>
      </c>
      <c r="G29" s="31" t="n">
        <f aca="false">COUNTIFS('QC Tracker'!$B$3:$B$200,E29,'QC Tracker'!$G$3:$G$200,"CRITICAL")</f>
        <v>4</v>
      </c>
      <c r="H29" s="31" t="n">
        <f aca="false">COUNTIFS('QC Tracker'!$B$3:$B$200,E29,'QC Tracker'!$R$3:$R$200,"Full")</f>
        <v>1</v>
      </c>
      <c r="I29" s="31" t="n">
        <f aca="false">COUNTIFS('QC Tracker'!$B$3:$B$200,E29,'QC Tracker'!$AE$3:$AE$200,"Live")</f>
        <v>0</v>
      </c>
    </row>
    <row r="30" customFormat="false" ht="15" hidden="false" customHeight="false" outlineLevel="0" collapsed="false">
      <c r="A30" s="26" t="s">
        <v>698</v>
      </c>
      <c r="B30" s="31" t="n">
        <f aca="false">SUM(B20:B29)</f>
        <v>55</v>
      </c>
      <c r="C30" s="31" t="n">
        <f aca="false">SUM(C20:C29)</f>
        <v>650</v>
      </c>
      <c r="E30" s="19" t="s">
        <v>287</v>
      </c>
      <c r="F30" s="31" t="n">
        <f aca="false">COUNTIF('QC Tracker'!$B$3:$B$200,E30)</f>
        <v>5</v>
      </c>
      <c r="G30" s="31" t="n">
        <f aca="false">COUNTIFS('QC Tracker'!$B$3:$B$200,E30,'QC Tracker'!$G$3:$G$200,"CRITICAL")</f>
        <v>5</v>
      </c>
      <c r="H30" s="31" t="n">
        <f aca="false">COUNTIFS('QC Tracker'!$B$3:$B$200,E30,'QC Tracker'!$R$3:$R$200,"Full")</f>
        <v>0</v>
      </c>
      <c r="I30" s="31" t="n">
        <f aca="false">COUNTIFS('QC Tracker'!$B$3:$B$200,E30,'QC Tracker'!$AE$3:$AE$200,"Live")</f>
        <v>0</v>
      </c>
    </row>
    <row r="31" customFormat="false" ht="15" hidden="false" customHeight="false" outlineLevel="0" collapsed="false">
      <c r="E31" s="19" t="s">
        <v>335</v>
      </c>
      <c r="F31" s="31" t="n">
        <f aca="false">COUNTIF('QC Tracker'!$B$3:$B$200,E31)</f>
        <v>4</v>
      </c>
      <c r="G31" s="31" t="n">
        <f aca="false">COUNTIFS('QC Tracker'!$B$3:$B$200,E31,'QC Tracker'!$G$3:$G$200,"CRITICAL")</f>
        <v>0</v>
      </c>
      <c r="H31" s="31" t="n">
        <f aca="false">COUNTIFS('QC Tracker'!$B$3:$B$200,E31,'QC Tracker'!$R$3:$R$200,"Full")</f>
        <v>3</v>
      </c>
      <c r="I31" s="31" t="n">
        <f aca="false">COUNTIFS('QC Tracker'!$B$3:$B$200,E31,'QC Tracker'!$AE$3:$AE$200,"Live")</f>
        <v>0</v>
      </c>
    </row>
    <row r="32" customFormat="false" ht="15" hidden="false" customHeight="false" outlineLevel="0" collapsed="false">
      <c r="E32" s="19" t="s">
        <v>374</v>
      </c>
      <c r="F32" s="31" t="n">
        <f aca="false">COUNTIF('QC Tracker'!$B$3:$B$200,E32)</f>
        <v>3</v>
      </c>
      <c r="G32" s="31" t="n">
        <f aca="false">COUNTIFS('QC Tracker'!$B$3:$B$200,E32,'QC Tracker'!$G$3:$G$200,"CRITICAL")</f>
        <v>0</v>
      </c>
      <c r="H32" s="31" t="n">
        <f aca="false">COUNTIFS('QC Tracker'!$B$3:$B$200,E32,'QC Tracker'!$R$3:$R$200,"Full")</f>
        <v>0</v>
      </c>
      <c r="I32" s="31" t="n">
        <f aca="false">COUNTIFS('QC Tracker'!$B$3:$B$200,E32,'QC Tracker'!$AE$3:$AE$200,"Live")</f>
        <v>0</v>
      </c>
    </row>
    <row r="33" customFormat="false" ht="15" hidden="false" customHeight="false" outlineLevel="0" collapsed="false">
      <c r="A33" s="16" t="s">
        <v>98</v>
      </c>
      <c r="B33" s="16" t="s">
        <v>684</v>
      </c>
      <c r="C33" s="16" t="s">
        <v>41</v>
      </c>
      <c r="E33" s="19" t="s">
        <v>405</v>
      </c>
      <c r="F33" s="31" t="n">
        <f aca="false">COUNTIF('QC Tracker'!$B$3:$B$200,E33)</f>
        <v>1</v>
      </c>
      <c r="G33" s="31" t="n">
        <f aca="false">COUNTIFS('QC Tracker'!$B$3:$B$200,E33,'QC Tracker'!$G$3:$G$200,"CRITICAL")</f>
        <v>1</v>
      </c>
      <c r="H33" s="31" t="n">
        <f aca="false">COUNTIFS('QC Tracker'!$B$3:$B$200,E33,'QC Tracker'!$R$3:$R$200,"Full")</f>
        <v>1</v>
      </c>
      <c r="I33" s="31" t="n">
        <f aca="false">COUNTIFS('QC Tracker'!$B$3:$B$200,E33,'QC Tracker'!$AE$3:$AE$200,"Live")</f>
        <v>0</v>
      </c>
    </row>
    <row r="34" customFormat="false" ht="15" hidden="false" customHeight="false" outlineLevel="0" collapsed="false">
      <c r="A34" s="19" t="s">
        <v>149</v>
      </c>
      <c r="B34" s="31" t="n">
        <f aca="false">COUNTIF('QC Tracker'!$M$3:$M$200,A34)</f>
        <v>4</v>
      </c>
      <c r="C34" s="31" t="n">
        <f aca="false">SUMPRODUCT(('QC Tracker'!$M$3:$M$200=A34)*('QC Tracker'!$AC$3:$AC$200=""))</f>
        <v>3</v>
      </c>
      <c r="E34" s="19" t="s">
        <v>417</v>
      </c>
      <c r="F34" s="31" t="n">
        <f aca="false">COUNTIF('QC Tracker'!$B$3:$B$200,E34)</f>
        <v>6</v>
      </c>
      <c r="G34" s="31" t="n">
        <f aca="false">COUNTIFS('QC Tracker'!$B$3:$B$200,E34,'QC Tracker'!$G$3:$G$200,"CRITICAL")</f>
        <v>3</v>
      </c>
      <c r="H34" s="31" t="n">
        <f aca="false">COUNTIFS('QC Tracker'!$B$3:$B$200,E34,'QC Tracker'!$R$3:$R$200,"Full")</f>
        <v>3</v>
      </c>
      <c r="I34" s="31" t="n">
        <f aca="false">COUNTIFS('QC Tracker'!$B$3:$B$200,E34,'QC Tracker'!$AE$3:$AE$200,"Live")</f>
        <v>0</v>
      </c>
    </row>
    <row r="35" customFormat="false" ht="23.85" hidden="false" customHeight="false" outlineLevel="0" collapsed="false">
      <c r="A35" s="19" t="s">
        <v>358</v>
      </c>
      <c r="B35" s="31" t="n">
        <f aca="false">COUNTIF('QC Tracker'!$M$3:$M$200,A35)</f>
        <v>1</v>
      </c>
      <c r="C35" s="31" t="n">
        <f aca="false">SUMPRODUCT(('QC Tracker'!$M$3:$M$200=A35)*('QC Tracker'!$AC$3:$AC$200=""))</f>
        <v>1</v>
      </c>
      <c r="E35" s="19" t="s">
        <v>475</v>
      </c>
      <c r="F35" s="31" t="n">
        <f aca="false">COUNTIF('QC Tracker'!$B$3:$B$200,E35)</f>
        <v>3</v>
      </c>
      <c r="G35" s="31" t="n">
        <f aca="false">COUNTIFS('QC Tracker'!$B$3:$B$200,E35,'QC Tracker'!$G$3:$G$200,"CRITICAL")</f>
        <v>0</v>
      </c>
      <c r="H35" s="31" t="n">
        <f aca="false">COUNTIFS('QC Tracker'!$B$3:$B$200,E35,'QC Tracker'!$R$3:$R$200,"Full")</f>
        <v>1</v>
      </c>
      <c r="I35" s="31" t="n">
        <f aca="false">COUNTIFS('QC Tracker'!$B$3:$B$200,E35,'QC Tracker'!$AE$3:$AE$200,"Live")</f>
        <v>0</v>
      </c>
    </row>
    <row r="36" customFormat="false" ht="15" hidden="false" customHeight="false" outlineLevel="0" collapsed="false">
      <c r="A36" s="19" t="s">
        <v>174</v>
      </c>
      <c r="B36" s="31" t="n">
        <f aca="false">COUNTIF('QC Tracker'!$M$3:$M$200,A36)</f>
        <v>12</v>
      </c>
      <c r="C36" s="31" t="n">
        <f aca="false">SUMPRODUCT(('QC Tracker'!$M$3:$M$200=A36)*('QC Tracker'!$AC$3:$AC$200=""))</f>
        <v>10</v>
      </c>
      <c r="E36" s="19" t="s">
        <v>501</v>
      </c>
      <c r="F36" s="31" t="n">
        <f aca="false">COUNTIF('QC Tracker'!$B$3:$B$200,E36)</f>
        <v>2</v>
      </c>
      <c r="G36" s="31" t="n">
        <f aca="false">COUNTIFS('QC Tracker'!$B$3:$B$200,E36,'QC Tracker'!$G$3:$G$200,"CRITICAL")</f>
        <v>2</v>
      </c>
      <c r="H36" s="31" t="n">
        <f aca="false">COUNTIFS('QC Tracker'!$B$3:$B$200,E36,'QC Tracker'!$R$3:$R$200,"Full")</f>
        <v>0</v>
      </c>
      <c r="I36" s="31" t="n">
        <f aca="false">COUNTIFS('QC Tracker'!$B$3:$B$200,E36,'QC Tracker'!$AE$3:$AE$200,"Live")</f>
        <v>0</v>
      </c>
    </row>
    <row r="37" customFormat="false" ht="15" hidden="false" customHeight="false" outlineLevel="0" collapsed="false">
      <c r="A37" s="19" t="s">
        <v>163</v>
      </c>
      <c r="B37" s="31" t="n">
        <f aca="false">COUNTIF('QC Tracker'!$M$3:$M$200,A37)</f>
        <v>8</v>
      </c>
      <c r="C37" s="31" t="n">
        <f aca="false">SUMPRODUCT(('QC Tracker'!$M$3:$M$200=A37)*('QC Tracker'!$AC$3:$AC$200=""))</f>
        <v>4</v>
      </c>
      <c r="E37" s="19" t="s">
        <v>517</v>
      </c>
      <c r="F37" s="31" t="n">
        <f aca="false">COUNTIF('QC Tracker'!$B$3:$B$200,E37)</f>
        <v>7</v>
      </c>
      <c r="G37" s="31" t="n">
        <f aca="false">COUNTIFS('QC Tracker'!$B$3:$B$200,E37,'QC Tracker'!$G$3:$G$200,"CRITICAL")</f>
        <v>3</v>
      </c>
      <c r="H37" s="31" t="n">
        <f aca="false">COUNTIFS('QC Tracker'!$B$3:$B$200,E37,'QC Tracker'!$R$3:$R$200,"Full")</f>
        <v>1</v>
      </c>
      <c r="I37" s="31" t="n">
        <f aca="false">COUNTIFS('QC Tracker'!$B$3:$B$200,E37,'QC Tracker'!$AE$3:$AE$200,"Live")</f>
        <v>0</v>
      </c>
    </row>
    <row r="38" customFormat="false" ht="15" hidden="false" customHeight="false" outlineLevel="0" collapsed="false">
      <c r="A38" s="19" t="s">
        <v>292</v>
      </c>
      <c r="B38" s="31" t="n">
        <f aca="false">COUNTIF('QC Tracker'!$M$3:$M$200,A38)</f>
        <v>5</v>
      </c>
      <c r="C38" s="31" t="n">
        <f aca="false">SUMPRODUCT(('QC Tracker'!$M$3:$M$200=A38)*('QC Tracker'!$AC$3:$AC$200=""))</f>
        <v>5</v>
      </c>
      <c r="E38" s="19" t="s">
        <v>566</v>
      </c>
      <c r="F38" s="31" t="n">
        <f aca="false">COUNTIF('QC Tracker'!$B$3:$B$200,E38)</f>
        <v>7</v>
      </c>
      <c r="G38" s="31" t="n">
        <f aca="false">COUNTIFS('QC Tracker'!$B$3:$B$200,E38,'QC Tracker'!$G$3:$G$200,"CRITICAL")</f>
        <v>5</v>
      </c>
      <c r="H38" s="31" t="n">
        <f aca="false">COUNTIFS('QC Tracker'!$B$3:$B$200,E38,'QC Tracker'!$R$3:$R$200,"Full")</f>
        <v>5</v>
      </c>
      <c r="I38" s="31" t="n">
        <f aca="false">COUNTIFS('QC Tracker'!$B$3:$B$200,E38,'QC Tracker'!$AE$3:$AE$200,"Live")</f>
        <v>0</v>
      </c>
    </row>
    <row r="39" customFormat="false" ht="15" hidden="false" customHeight="false" outlineLevel="0" collapsed="false">
      <c r="A39" s="19" t="s">
        <v>241</v>
      </c>
      <c r="B39" s="31" t="n">
        <f aca="false">COUNTIF('QC Tracker'!$M$3:$M$200,A39)</f>
        <v>3</v>
      </c>
      <c r="C39" s="31" t="n">
        <f aca="false">SUMPRODUCT(('QC Tracker'!$M$3:$M$200=A39)*('QC Tracker'!$AC$3:$AC$200=""))</f>
        <v>2</v>
      </c>
      <c r="E39" s="19" t="s">
        <v>618</v>
      </c>
      <c r="F39" s="31" t="n">
        <f aca="false">COUNTIF('QC Tracker'!$B$3:$B$200,E39)</f>
        <v>1</v>
      </c>
      <c r="G39" s="31" t="n">
        <f aca="false">COUNTIFS('QC Tracker'!$B$3:$B$200,E39,'QC Tracker'!$G$3:$G$200,"CRITICAL")</f>
        <v>0</v>
      </c>
      <c r="H39" s="31" t="n">
        <f aca="false">COUNTIFS('QC Tracker'!$B$3:$B$200,E39,'QC Tracker'!$R$3:$R$200,"Full")</f>
        <v>1</v>
      </c>
      <c r="I39" s="31" t="n">
        <f aca="false">COUNTIFS('QC Tracker'!$B$3:$B$200,E39,'QC Tracker'!$AE$3:$AE$200,"Live")</f>
        <v>0</v>
      </c>
    </row>
    <row r="40" customFormat="false" ht="15" hidden="false" customHeight="false" outlineLevel="0" collapsed="false">
      <c r="A40" s="19" t="s">
        <v>230</v>
      </c>
      <c r="B40" s="31" t="n">
        <f aca="false">COUNTIF('QC Tracker'!$M$3:$M$200,A40)</f>
        <v>6</v>
      </c>
      <c r="C40" s="31" t="n">
        <f aca="false">SUMPRODUCT(('QC Tracker'!$M$3:$M$200=A40)*('QC Tracker'!$AC$3:$AC$200=""))</f>
        <v>5</v>
      </c>
      <c r="E40" s="26" t="s">
        <v>698</v>
      </c>
      <c r="F40" s="31" t="n">
        <f aca="false">SUM(F28:F39)</f>
        <v>55</v>
      </c>
      <c r="G40" s="31" t="n">
        <f aca="false">SUM(G28:G39)</f>
        <v>27</v>
      </c>
      <c r="H40" s="31" t="n">
        <f aca="false">SUM(H28:H39)</f>
        <v>18</v>
      </c>
      <c r="I40" s="31" t="n">
        <f aca="false">SUM(I28:I39)</f>
        <v>0</v>
      </c>
    </row>
    <row r="41" customFormat="false" ht="15" hidden="false" customHeight="false" outlineLevel="0" collapsed="false">
      <c r="A41" s="19" t="s">
        <v>433</v>
      </c>
      <c r="B41" s="31" t="n">
        <f aca="false">COUNTIF('QC Tracker'!$M$3:$M$200,A41)</f>
        <v>1</v>
      </c>
      <c r="C41" s="31" t="n">
        <f aca="false">SUMPRODUCT(('QC Tracker'!$M$3:$M$200=A41)*('QC Tracker'!$AC$3:$AC$200=""))</f>
        <v>1</v>
      </c>
    </row>
    <row r="42" customFormat="false" ht="15" hidden="false" customHeight="false" outlineLevel="0" collapsed="false">
      <c r="A42" s="19" t="s">
        <v>131</v>
      </c>
      <c r="B42" s="31" t="n">
        <f aca="false">COUNTIF('QC Tracker'!$M$3:$M$200,A42)</f>
        <v>5</v>
      </c>
      <c r="C42" s="31" t="n">
        <f aca="false">SUMPRODUCT(('QC Tracker'!$M$3:$M$200=A42)*('QC Tracker'!$AC$3:$AC$200=""))</f>
        <v>2</v>
      </c>
      <c r="E42" s="16" t="s">
        <v>709</v>
      </c>
      <c r="F42" s="16" t="s">
        <v>684</v>
      </c>
    </row>
    <row r="43" customFormat="false" ht="15" hidden="false" customHeight="false" outlineLevel="0" collapsed="false">
      <c r="A43" s="19" t="s">
        <v>310</v>
      </c>
      <c r="B43" s="31" t="n">
        <f aca="false">COUNTIF('QC Tracker'!$M$3:$M$200,A43)</f>
        <v>3</v>
      </c>
      <c r="C43" s="31" t="n">
        <f aca="false">SUMPRODUCT(('QC Tracker'!$M$3:$M$200=A43)*('QC Tracker'!$AC$3:$AC$200=""))</f>
        <v>3</v>
      </c>
      <c r="E43" s="19" t="s">
        <v>136</v>
      </c>
      <c r="F43" s="31" t="n">
        <f aca="false">COUNTIF('QC Tracker'!$T$3:$T$200,E43)</f>
        <v>27</v>
      </c>
    </row>
    <row r="44" customFormat="false" ht="15" hidden="false" customHeight="false" outlineLevel="0" collapsed="false">
      <c r="A44" s="19" t="s">
        <v>188</v>
      </c>
      <c r="B44" s="31" t="n">
        <f aca="false">COUNTIF('QC Tracker'!$M$3:$M$200,A44)</f>
        <v>4</v>
      </c>
      <c r="C44" s="31" t="n">
        <f aca="false">SUMPRODUCT(('QC Tracker'!$M$3:$M$200=A44)*('QC Tracker'!$AC$3:$AC$200=""))</f>
        <v>3</v>
      </c>
      <c r="E44" s="19" t="s">
        <v>135</v>
      </c>
      <c r="F44" s="31" t="n">
        <f aca="false">COUNTIF('QC Tracker'!$T$3:$T$200,E44)</f>
        <v>0</v>
      </c>
    </row>
    <row r="45" customFormat="false" ht="15" hidden="false" customHeight="false" outlineLevel="0" collapsed="false">
      <c r="A45" s="19" t="s">
        <v>396</v>
      </c>
      <c r="B45" s="31" t="n">
        <f aca="false">COUNTIF('QC Tracker'!$M$3:$M$200,A45)</f>
        <v>3</v>
      </c>
      <c r="C45" s="31" t="n">
        <f aca="false">SUMPRODUCT(('QC Tracker'!$M$3:$M$200=A45)*('QC Tracker'!$AC$3:$AC$200=""))</f>
        <v>3</v>
      </c>
      <c r="E45" s="19" t="s">
        <v>153</v>
      </c>
      <c r="F45" s="31" t="n">
        <f aca="false">COUNTIF('QC Tracker'!$T$3:$T$200,E45)</f>
        <v>23</v>
      </c>
    </row>
    <row r="46" customFormat="false" ht="15" hidden="false" customHeight="false" outlineLevel="0" collapsed="false">
      <c r="A46" s="26" t="s">
        <v>698</v>
      </c>
      <c r="B46" s="31" t="n">
        <f aca="false">SUM(B34:B45)</f>
        <v>55</v>
      </c>
      <c r="C46" s="31" t="n">
        <f aca="false">SUM(C34:C45)</f>
        <v>42</v>
      </c>
      <c r="E46" s="19" t="s">
        <v>710</v>
      </c>
      <c r="F46" s="31" t="n">
        <f aca="false">$B$5-SUM(F43:F45)</f>
        <v>5</v>
      </c>
    </row>
    <row r="48" customFormat="false" ht="15" hidden="false" customHeight="false" outlineLevel="0" collapsed="false">
      <c r="A48" s="16" t="s">
        <v>35</v>
      </c>
      <c r="B48" s="16" t="s">
        <v>684</v>
      </c>
      <c r="C48" s="16" t="s">
        <v>701</v>
      </c>
    </row>
    <row r="49" customFormat="false" ht="15" hidden="false" customHeight="false" outlineLevel="0" collapsed="false">
      <c r="A49" s="19" t="s">
        <v>181</v>
      </c>
      <c r="B49" s="31" t="n">
        <f aca="false">COUNTIF('QC Tracker'!$X$3:$X$200,A49)</f>
        <v>18</v>
      </c>
      <c r="C49" s="31" t="n">
        <f aca="false">COUNTIFS('QC Tracker'!$X$3:$X$200,A49,'QC Tracker'!$G$3:$G$200,"CRITICAL")</f>
        <v>7</v>
      </c>
    </row>
    <row r="50" customFormat="false" ht="15" hidden="false" customHeight="false" outlineLevel="0" collapsed="false">
      <c r="A50" s="19" t="s">
        <v>140</v>
      </c>
      <c r="B50" s="31" t="n">
        <f aca="false">COUNTIF('QC Tracker'!$X$3:$X$200,A50)</f>
        <v>27</v>
      </c>
      <c r="C50" s="31" t="n">
        <f aca="false">COUNTIFS('QC Tracker'!$X$3:$X$200,A50,'QC Tracker'!$G$3:$G$200,"CRITICAL")</f>
        <v>15</v>
      </c>
    </row>
    <row r="51" customFormat="false" ht="15" hidden="false" customHeight="false" outlineLevel="0" collapsed="false">
      <c r="A51" s="19" t="s">
        <v>127</v>
      </c>
      <c r="B51" s="31" t="n">
        <f aca="false">COUNTIF('QC Tracker'!$X$3:$X$200,A51)</f>
        <v>10</v>
      </c>
      <c r="C51" s="31" t="n">
        <f aca="false">COUNTIFS('QC Tracker'!$X$3:$X$200,A51,'QC Tracker'!$G$3:$G$200,"CRITICAL")</f>
        <v>5</v>
      </c>
    </row>
    <row r="52" customFormat="false" ht="15" hidden="false" customHeight="false" outlineLevel="0" collapsed="false">
      <c r="A52" s="26" t="s">
        <v>698</v>
      </c>
      <c r="B52" s="31" t="n">
        <f aca="false">SUM(B49:B51)</f>
        <v>55</v>
      </c>
      <c r="C52" s="31" t="n">
        <f aca="false">SUM(C49:C51)</f>
        <v>27</v>
      </c>
    </row>
    <row r="54" customFormat="false" ht="15" hidden="false" customHeight="false" outlineLevel="0" collapsed="false">
      <c r="A54" s="16" t="s">
        <v>37</v>
      </c>
      <c r="B54" s="16" t="s">
        <v>684</v>
      </c>
      <c r="C54" s="16" t="s">
        <v>701</v>
      </c>
    </row>
    <row r="55" customFormat="false" ht="15" hidden="false" customHeight="false" outlineLevel="0" collapsed="false">
      <c r="A55" s="19" t="s">
        <v>341</v>
      </c>
      <c r="B55" s="31" t="n">
        <f aca="false">COUNTIF('QC Tracker'!$U$3:$U$200,A55)</f>
        <v>8</v>
      </c>
      <c r="C55" s="31" t="n">
        <f aca="false">COUNTIFS('QC Tracker'!$U$3:$U$200,A55,'QC Tracker'!$G$3:$G$200,"CRITICAL")</f>
        <v>2</v>
      </c>
    </row>
    <row r="56" customFormat="false" ht="15" hidden="false" customHeight="false" outlineLevel="0" collapsed="false">
      <c r="A56" s="19" t="s">
        <v>137</v>
      </c>
      <c r="B56" s="31" t="n">
        <f aca="false">COUNTIF('QC Tracker'!$U$3:$U$200,A56)</f>
        <v>10</v>
      </c>
      <c r="C56" s="31" t="n">
        <f aca="false">COUNTIFS('QC Tracker'!$U$3:$U$200,A56,'QC Tracker'!$G$3:$G$200,"CRITICAL")</f>
        <v>6</v>
      </c>
    </row>
    <row r="57" customFormat="false" ht="15" hidden="false" customHeight="false" outlineLevel="0" collapsed="false">
      <c r="A57" s="19" t="s">
        <v>457</v>
      </c>
      <c r="B57" s="31" t="n">
        <f aca="false">COUNTIF('QC Tracker'!$U$3:$U$200,A57)</f>
        <v>7</v>
      </c>
      <c r="C57" s="31" t="n">
        <f aca="false">COUNTIFS('QC Tracker'!$U$3:$U$200,A57,'QC Tracker'!$G$3:$G$200,"CRITICAL")</f>
        <v>5</v>
      </c>
    </row>
    <row r="58" customFormat="false" ht="15" hidden="false" customHeight="false" outlineLevel="0" collapsed="false">
      <c r="A58" s="19" t="s">
        <v>191</v>
      </c>
      <c r="B58" s="31" t="n">
        <f aca="false">COUNTIF('QC Tracker'!$U$3:$U$200,A58)</f>
        <v>2</v>
      </c>
      <c r="C58" s="31" t="n">
        <f aca="false">COUNTIFS('QC Tracker'!$U$3:$U$200,A58,'QC Tracker'!$G$3:$G$200,"CRITICAL")</f>
        <v>0</v>
      </c>
    </row>
    <row r="59" customFormat="false" ht="15" hidden="false" customHeight="false" outlineLevel="0" collapsed="false">
      <c r="A59" s="19" t="s">
        <v>154</v>
      </c>
      <c r="B59" s="31" t="n">
        <f aca="false">COUNTIF('QC Tracker'!$U$3:$U$200,A59)</f>
        <v>9</v>
      </c>
      <c r="C59" s="31" t="n">
        <f aca="false">COUNTIFS('QC Tracker'!$U$3:$U$200,A59,'QC Tracker'!$G$3:$G$200,"CRITICAL")</f>
        <v>6</v>
      </c>
    </row>
    <row r="60" customFormat="false" ht="15" hidden="false" customHeight="false" outlineLevel="0" collapsed="false">
      <c r="A60" s="19" t="s">
        <v>178</v>
      </c>
      <c r="B60" s="31" t="n">
        <f aca="false">COUNTIF('QC Tracker'!$U$3:$U$200,A60)</f>
        <v>4</v>
      </c>
      <c r="C60" s="31" t="n">
        <f aca="false">COUNTIFS('QC Tracker'!$U$3:$U$200,A60,'QC Tracker'!$G$3:$G$200,"CRITICAL")</f>
        <v>0</v>
      </c>
    </row>
    <row r="61" customFormat="false" ht="15" hidden="false" customHeight="false" outlineLevel="0" collapsed="false">
      <c r="A61" s="19" t="s">
        <v>245</v>
      </c>
      <c r="B61" s="31" t="n">
        <f aca="false">COUNTIF('QC Tracker'!$U$3:$U$200,A61)</f>
        <v>2</v>
      </c>
      <c r="C61" s="31" t="n">
        <f aca="false">COUNTIFS('QC Tracker'!$U$3:$U$200,A61,'QC Tracker'!$G$3:$G$200,"CRITICAL")</f>
        <v>1</v>
      </c>
    </row>
    <row r="62" customFormat="false" ht="15" hidden="false" customHeight="false" outlineLevel="0" collapsed="false">
      <c r="A62" s="19" t="s">
        <v>423</v>
      </c>
      <c r="B62" s="31" t="n">
        <f aca="false">COUNTIF('QC Tracker'!$U$3:$U$200,A62)</f>
        <v>2</v>
      </c>
      <c r="C62" s="31" t="n">
        <f aca="false">COUNTIFS('QC Tracker'!$U$3:$U$200,A62,'QC Tracker'!$G$3:$G$200,"CRITICAL")</f>
        <v>2</v>
      </c>
    </row>
    <row r="63" customFormat="false" ht="15" hidden="false" customHeight="false" outlineLevel="0" collapsed="false">
      <c r="A63" s="19" t="s">
        <v>274</v>
      </c>
      <c r="B63" s="31" t="n">
        <f aca="false">COUNTIF('QC Tracker'!$U$3:$U$200,A63)</f>
        <v>11</v>
      </c>
      <c r="C63" s="31" t="n">
        <f aca="false">COUNTIFS('QC Tracker'!$U$3:$U$200,A63,'QC Tracker'!$G$3:$G$200,"CRITICAL")</f>
        <v>5</v>
      </c>
    </row>
    <row r="64" customFormat="false" ht="15" hidden="false" customHeight="false" outlineLevel="0" collapsed="false">
      <c r="A64" s="26" t="s">
        <v>698</v>
      </c>
      <c r="B64" s="31" t="n">
        <f aca="false">SUM(B55:B63)</f>
        <v>55</v>
      </c>
      <c r="C64" s="31" t="n">
        <f aca="false">SUM(C55:C63)</f>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0"/>
    <col collapsed="false" customWidth="true" hidden="false" outlineLevel="0" max="4" min="4" style="0" width="44"/>
    <col collapsed="false" customWidth="true" hidden="false" outlineLevel="0" max="5" min="5" style="0" width="9"/>
    <col collapsed="false" customWidth="true" hidden="false" outlineLevel="0" max="6" min="6" style="0" width="44"/>
    <col collapsed="false" customWidth="true" hidden="false" outlineLevel="0" max="7" min="7" style="0" width="11"/>
    <col collapsed="false" customWidth="true" hidden="false" outlineLevel="0" max="8" min="8" style="0" width="36"/>
    <col collapsed="false" customWidth="true" hidden="false" outlineLevel="0" max="9" min="9" style="0" width="14"/>
  </cols>
  <sheetData>
    <row r="1" customFormat="false" ht="30" hidden="false" customHeight="true" outlineLevel="0" collapsed="false">
      <c r="A1" s="16" t="s">
        <v>711</v>
      </c>
      <c r="B1" s="16" t="s">
        <v>712</v>
      </c>
      <c r="C1" s="16" t="s">
        <v>629</v>
      </c>
      <c r="D1" s="16" t="s">
        <v>713</v>
      </c>
      <c r="E1" s="16" t="s">
        <v>714</v>
      </c>
      <c r="F1" s="16" t="s">
        <v>715</v>
      </c>
      <c r="G1" s="16" t="s">
        <v>716</v>
      </c>
      <c r="H1" s="16" t="s">
        <v>717</v>
      </c>
      <c r="I1" s="16" t="s">
        <v>114</v>
      </c>
    </row>
    <row r="2" customFormat="false" ht="42" hidden="false" customHeight="true" outlineLevel="0" collapsed="false">
      <c r="A2" s="25" t="n">
        <v>46302</v>
      </c>
      <c r="B2" s="22" t="n">
        <v>456</v>
      </c>
      <c r="C2" s="22" t="s">
        <v>177</v>
      </c>
      <c r="D2" s="22" t="s">
        <v>718</v>
      </c>
      <c r="E2" s="22" t="n">
        <v>12</v>
      </c>
      <c r="F2" s="22" t="s">
        <v>719</v>
      </c>
      <c r="G2" s="22" t="s">
        <v>720</v>
      </c>
      <c r="H2" s="22" t="s">
        <v>721</v>
      </c>
      <c r="I2" s="22" t="s">
        <v>722</v>
      </c>
    </row>
    <row r="3" customFormat="false" ht="15" hidden="false" customHeight="false" outlineLevel="0" collapsed="false">
      <c r="A3" s="25"/>
      <c r="B3" s="22"/>
      <c r="C3" s="22"/>
      <c r="D3" s="22"/>
      <c r="E3" s="22"/>
      <c r="F3" s="22"/>
      <c r="G3" s="22"/>
      <c r="H3" s="22"/>
      <c r="I3" s="22"/>
    </row>
    <row r="4" customFormat="false" ht="15" hidden="false" customHeight="false" outlineLevel="0" collapsed="false">
      <c r="A4" s="25"/>
      <c r="B4" s="22"/>
      <c r="C4" s="22"/>
      <c r="D4" s="22"/>
      <c r="E4" s="22"/>
      <c r="F4" s="22"/>
      <c r="G4" s="22"/>
      <c r="H4" s="22"/>
      <c r="I4" s="22"/>
    </row>
    <row r="5" customFormat="false" ht="15" hidden="false" customHeight="false" outlineLevel="0" collapsed="false">
      <c r="A5" s="25"/>
      <c r="B5" s="22"/>
      <c r="C5" s="22"/>
      <c r="D5" s="22"/>
      <c r="E5" s="22"/>
      <c r="F5" s="22"/>
      <c r="G5" s="22"/>
      <c r="H5" s="22"/>
      <c r="I5" s="22"/>
    </row>
    <row r="6" customFormat="false" ht="15" hidden="false" customHeight="false" outlineLevel="0" collapsed="false">
      <c r="A6" s="25"/>
      <c r="B6" s="22"/>
      <c r="C6" s="22"/>
      <c r="D6" s="22"/>
      <c r="E6" s="22"/>
      <c r="F6" s="22"/>
      <c r="G6" s="22"/>
      <c r="H6" s="22"/>
      <c r="I6" s="22"/>
    </row>
    <row r="7" customFormat="false" ht="15" hidden="false" customHeight="false" outlineLevel="0" collapsed="false">
      <c r="A7" s="25"/>
      <c r="B7" s="22"/>
      <c r="C7" s="22"/>
      <c r="D7" s="22"/>
      <c r="E7" s="22"/>
      <c r="F7" s="22"/>
      <c r="G7" s="22"/>
      <c r="H7" s="22"/>
      <c r="I7" s="22"/>
    </row>
    <row r="8" customFormat="false" ht="15" hidden="false" customHeight="false" outlineLevel="0" collapsed="false">
      <c r="A8" s="25"/>
      <c r="B8" s="22"/>
      <c r="C8" s="22"/>
      <c r="D8" s="22"/>
      <c r="E8" s="22"/>
      <c r="F8" s="22"/>
      <c r="G8" s="22"/>
      <c r="H8" s="22"/>
      <c r="I8" s="22"/>
    </row>
    <row r="9" customFormat="false" ht="15" hidden="false" customHeight="false" outlineLevel="0" collapsed="false">
      <c r="A9" s="25"/>
      <c r="B9" s="22"/>
      <c r="C9" s="22"/>
      <c r="D9" s="22"/>
      <c r="E9" s="22"/>
      <c r="F9" s="22"/>
      <c r="G9" s="22"/>
      <c r="H9" s="22"/>
      <c r="I9" s="22"/>
    </row>
    <row r="10" customFormat="false" ht="15" hidden="false" customHeight="false" outlineLevel="0" collapsed="false">
      <c r="A10" s="25"/>
      <c r="B10" s="22"/>
      <c r="C10" s="22"/>
      <c r="D10" s="22"/>
      <c r="E10" s="22"/>
      <c r="F10" s="22"/>
      <c r="G10" s="22"/>
      <c r="H10" s="22"/>
      <c r="I10" s="22"/>
    </row>
    <row r="11" customFormat="false" ht="15" hidden="false" customHeight="false" outlineLevel="0" collapsed="false">
      <c r="A11" s="25"/>
      <c r="B11" s="22"/>
      <c r="C11" s="22"/>
      <c r="D11" s="22"/>
      <c r="E11" s="22"/>
      <c r="F11" s="22"/>
      <c r="G11" s="22"/>
      <c r="H11" s="22"/>
      <c r="I11" s="22"/>
    </row>
    <row r="12" customFormat="false" ht="15" hidden="false" customHeight="false" outlineLevel="0" collapsed="false">
      <c r="A12" s="25"/>
      <c r="B12" s="22"/>
      <c r="C12" s="22"/>
      <c r="D12" s="22"/>
      <c r="E12" s="22"/>
      <c r="F12" s="22"/>
      <c r="G12" s="22"/>
      <c r="H12" s="22"/>
      <c r="I12" s="22"/>
    </row>
    <row r="13" customFormat="false" ht="15" hidden="false" customHeight="false" outlineLevel="0" collapsed="false">
      <c r="A13" s="25"/>
      <c r="B13" s="22"/>
      <c r="C13" s="22"/>
      <c r="D13" s="22"/>
      <c r="E13" s="22"/>
      <c r="F13" s="22"/>
      <c r="G13" s="22"/>
      <c r="H13" s="22"/>
      <c r="I13" s="22"/>
    </row>
    <row r="14" customFormat="false" ht="15" hidden="false" customHeight="false" outlineLevel="0" collapsed="false">
      <c r="A14" s="25"/>
      <c r="B14" s="22"/>
      <c r="C14" s="22"/>
      <c r="D14" s="22"/>
      <c r="E14" s="22"/>
      <c r="F14" s="22"/>
      <c r="G14" s="22"/>
      <c r="H14" s="22"/>
      <c r="I14" s="22"/>
    </row>
    <row r="15" customFormat="false" ht="15" hidden="false" customHeight="false" outlineLevel="0" collapsed="false">
      <c r="A15" s="25"/>
      <c r="B15" s="22"/>
      <c r="C15" s="22"/>
      <c r="D15" s="22"/>
      <c r="E15" s="22"/>
      <c r="F15" s="22"/>
      <c r="G15" s="22"/>
      <c r="H15" s="22"/>
      <c r="I15" s="22"/>
    </row>
    <row r="16" customFormat="false" ht="15" hidden="false" customHeight="false" outlineLevel="0" collapsed="false">
      <c r="A16" s="25"/>
      <c r="B16" s="22"/>
      <c r="C16" s="22"/>
      <c r="D16" s="22"/>
      <c r="E16" s="22"/>
      <c r="F16" s="22"/>
      <c r="G16" s="22"/>
      <c r="H16" s="22"/>
      <c r="I16" s="22"/>
    </row>
    <row r="17" customFormat="false" ht="15" hidden="false" customHeight="false" outlineLevel="0" collapsed="false">
      <c r="A17" s="25"/>
      <c r="B17" s="22"/>
      <c r="C17" s="22"/>
      <c r="D17" s="22"/>
      <c r="E17" s="22"/>
      <c r="F17" s="22"/>
      <c r="G17" s="22"/>
      <c r="H17" s="22"/>
      <c r="I17" s="22"/>
    </row>
    <row r="18" customFormat="false" ht="15" hidden="false" customHeight="false" outlineLevel="0" collapsed="false">
      <c r="A18" s="25"/>
      <c r="B18" s="22"/>
      <c r="C18" s="22"/>
      <c r="D18" s="22"/>
      <c r="E18" s="22"/>
      <c r="F18" s="22"/>
      <c r="G18" s="22"/>
      <c r="H18" s="22"/>
      <c r="I18" s="22"/>
    </row>
    <row r="19" customFormat="false" ht="15" hidden="false" customHeight="false" outlineLevel="0" collapsed="false">
      <c r="A19" s="25"/>
      <c r="B19" s="22"/>
      <c r="C19" s="22"/>
      <c r="D19" s="22"/>
      <c r="E19" s="22"/>
      <c r="F19" s="22"/>
      <c r="G19" s="22"/>
      <c r="H19" s="22"/>
      <c r="I19" s="22"/>
    </row>
    <row r="20" customFormat="false" ht="15" hidden="false" customHeight="false" outlineLevel="0" collapsed="false">
      <c r="A20" s="25"/>
      <c r="B20" s="22"/>
      <c r="C20" s="22"/>
      <c r="D20" s="22"/>
      <c r="E20" s="22"/>
      <c r="F20" s="22"/>
      <c r="G20" s="22"/>
      <c r="H20" s="22"/>
      <c r="I20" s="22"/>
    </row>
    <row r="21" customFormat="false" ht="15" hidden="false" customHeight="false" outlineLevel="0" collapsed="false">
      <c r="A21" s="25"/>
      <c r="B21" s="22"/>
      <c r="C21" s="22"/>
      <c r="D21" s="22"/>
      <c r="E21" s="22"/>
      <c r="F21" s="22"/>
      <c r="G21" s="22"/>
      <c r="H21" s="22"/>
      <c r="I21" s="22"/>
    </row>
    <row r="22" customFormat="false" ht="15" hidden="false" customHeight="false" outlineLevel="0" collapsed="false">
      <c r="A22" s="25"/>
      <c r="B22" s="22"/>
      <c r="C22" s="22"/>
      <c r="D22" s="22"/>
      <c r="E22" s="22"/>
      <c r="F22" s="22"/>
      <c r="G22" s="22"/>
      <c r="H22" s="22"/>
      <c r="I22" s="22"/>
    </row>
    <row r="23" customFormat="false" ht="15" hidden="false" customHeight="false" outlineLevel="0" collapsed="false">
      <c r="A23" s="25"/>
      <c r="B23" s="22"/>
      <c r="C23" s="22"/>
      <c r="D23" s="22"/>
      <c r="E23" s="22"/>
      <c r="F23" s="22"/>
      <c r="G23" s="22"/>
      <c r="H23" s="22"/>
      <c r="I23" s="22"/>
    </row>
    <row r="24" customFormat="false" ht="15" hidden="false" customHeight="false" outlineLevel="0" collapsed="false">
      <c r="A24" s="25"/>
      <c r="B24" s="22"/>
      <c r="C24" s="22"/>
      <c r="D24" s="22"/>
      <c r="E24" s="22"/>
      <c r="F24" s="22"/>
      <c r="G24" s="22"/>
      <c r="H24" s="22"/>
      <c r="I24" s="22"/>
    </row>
    <row r="25" customFormat="false" ht="15" hidden="false" customHeight="false" outlineLevel="0" collapsed="false">
      <c r="A25" s="25"/>
      <c r="B25" s="22"/>
      <c r="C25" s="22"/>
      <c r="D25" s="22"/>
      <c r="E25" s="22"/>
      <c r="F25" s="22"/>
      <c r="G25" s="22"/>
      <c r="H25" s="22"/>
      <c r="I25" s="22"/>
    </row>
    <row r="26" customFormat="false" ht="15" hidden="false" customHeight="false" outlineLevel="0" collapsed="false">
      <c r="A26" s="25"/>
      <c r="B26" s="22"/>
      <c r="C26" s="22"/>
      <c r="D26" s="22"/>
      <c r="E26" s="22"/>
      <c r="F26" s="22"/>
      <c r="G26" s="22"/>
      <c r="H26" s="22"/>
      <c r="I26" s="22"/>
    </row>
    <row r="27" customFormat="false" ht="15" hidden="false" customHeight="false" outlineLevel="0" collapsed="false">
      <c r="A27" s="25"/>
      <c r="B27" s="22"/>
      <c r="C27" s="22"/>
      <c r="D27" s="22"/>
      <c r="E27" s="22"/>
      <c r="F27" s="22"/>
      <c r="G27" s="22"/>
      <c r="H27" s="22"/>
      <c r="I27" s="22"/>
    </row>
    <row r="28" customFormat="false" ht="15" hidden="false" customHeight="false" outlineLevel="0" collapsed="false">
      <c r="A28" s="25"/>
      <c r="B28" s="22"/>
      <c r="C28" s="22"/>
      <c r="D28" s="22"/>
      <c r="E28" s="22"/>
      <c r="F28" s="22"/>
      <c r="G28" s="22"/>
      <c r="H28" s="22"/>
      <c r="I28" s="22"/>
    </row>
    <row r="29" customFormat="false" ht="15" hidden="false" customHeight="false" outlineLevel="0" collapsed="false">
      <c r="A29" s="25"/>
      <c r="B29" s="22"/>
      <c r="C29" s="22"/>
      <c r="D29" s="22"/>
      <c r="E29" s="22"/>
      <c r="F29" s="22"/>
      <c r="G29" s="22"/>
      <c r="H29" s="22"/>
      <c r="I29" s="22"/>
    </row>
    <row r="30" customFormat="false" ht="15" hidden="false" customHeight="false" outlineLevel="0" collapsed="false">
      <c r="A30" s="25"/>
      <c r="B30" s="22"/>
      <c r="C30" s="22"/>
      <c r="D30" s="22"/>
      <c r="E30" s="22"/>
      <c r="F30" s="22"/>
      <c r="G30" s="22"/>
      <c r="H30" s="22"/>
      <c r="I30" s="22"/>
    </row>
    <row r="31" customFormat="false" ht="15" hidden="false" customHeight="false" outlineLevel="0" collapsed="false">
      <c r="A31" s="25"/>
      <c r="B31" s="22"/>
      <c r="C31" s="22"/>
      <c r="D31" s="22"/>
      <c r="E31" s="22"/>
      <c r="F31" s="22"/>
      <c r="G31" s="22"/>
      <c r="H31" s="22"/>
      <c r="I31" s="22"/>
    </row>
    <row r="32" customFormat="false" ht="15" hidden="false" customHeight="false" outlineLevel="0" collapsed="false">
      <c r="A32" s="25"/>
      <c r="B32" s="22"/>
      <c r="C32" s="22"/>
      <c r="D32" s="22"/>
      <c r="E32" s="22"/>
      <c r="F32" s="22"/>
      <c r="G32" s="22"/>
      <c r="H32" s="22"/>
      <c r="I32" s="22"/>
    </row>
    <row r="33" customFormat="false" ht="15" hidden="false" customHeight="false" outlineLevel="0" collapsed="false">
      <c r="A33" s="25"/>
      <c r="B33" s="22"/>
      <c r="C33" s="22"/>
      <c r="D33" s="22"/>
      <c r="E33" s="22"/>
      <c r="F33" s="22"/>
      <c r="G33" s="22"/>
      <c r="H33" s="22"/>
      <c r="I33" s="22"/>
    </row>
    <row r="34" customFormat="false" ht="15" hidden="false" customHeight="false" outlineLevel="0" collapsed="false">
      <c r="A34" s="25"/>
      <c r="B34" s="22"/>
      <c r="C34" s="22"/>
      <c r="D34" s="22"/>
      <c r="E34" s="22"/>
      <c r="F34" s="22"/>
      <c r="G34" s="22"/>
      <c r="H34" s="22"/>
      <c r="I34" s="22"/>
    </row>
    <row r="35" customFormat="false" ht="15" hidden="false" customHeight="false" outlineLevel="0" collapsed="false">
      <c r="A35" s="25"/>
      <c r="B35" s="22"/>
      <c r="C35" s="22"/>
      <c r="D35" s="22"/>
      <c r="E35" s="22"/>
      <c r="F35" s="22"/>
      <c r="G35" s="22"/>
      <c r="H35" s="22"/>
      <c r="I35" s="22"/>
    </row>
    <row r="36" customFormat="false" ht="15" hidden="false" customHeight="false" outlineLevel="0" collapsed="false">
      <c r="A36" s="25"/>
      <c r="B36" s="22"/>
      <c r="C36" s="22"/>
      <c r="D36" s="22"/>
      <c r="E36" s="22"/>
      <c r="F36" s="22"/>
      <c r="G36" s="22"/>
      <c r="H36" s="22"/>
      <c r="I36" s="22"/>
    </row>
    <row r="37" customFormat="false" ht="15" hidden="false" customHeight="false" outlineLevel="0" collapsed="false">
      <c r="A37" s="25"/>
      <c r="B37" s="22"/>
      <c r="C37" s="22"/>
      <c r="D37" s="22"/>
      <c r="E37" s="22"/>
      <c r="F37" s="22"/>
      <c r="G37" s="22"/>
      <c r="H37" s="22"/>
      <c r="I37" s="22"/>
    </row>
    <row r="38" customFormat="false" ht="15" hidden="false" customHeight="false" outlineLevel="0" collapsed="false">
      <c r="A38" s="25"/>
      <c r="B38" s="22"/>
      <c r="C38" s="22"/>
      <c r="D38" s="22"/>
      <c r="E38" s="22"/>
      <c r="F38" s="22"/>
      <c r="G38" s="22"/>
      <c r="H38" s="22"/>
      <c r="I38" s="22"/>
    </row>
    <row r="39" customFormat="false" ht="15" hidden="false" customHeight="false" outlineLevel="0" collapsed="false">
      <c r="A39" s="25"/>
      <c r="B39" s="22"/>
      <c r="C39" s="22"/>
      <c r="D39" s="22"/>
      <c r="E39" s="22"/>
      <c r="F39" s="22"/>
      <c r="G39" s="22"/>
      <c r="H39" s="22"/>
      <c r="I39" s="22"/>
    </row>
    <row r="40" customFormat="false" ht="15" hidden="false" customHeight="false" outlineLevel="0" collapsed="false">
      <c r="A40" s="25"/>
      <c r="B40" s="22"/>
      <c r="C40" s="22"/>
      <c r="D40" s="22"/>
      <c r="E40" s="22"/>
      <c r="F40" s="22"/>
      <c r="G40" s="22"/>
      <c r="H40" s="22"/>
      <c r="I40" s="22"/>
    </row>
    <row r="41" customFormat="false" ht="15" hidden="false" customHeight="false" outlineLevel="0" collapsed="false">
      <c r="A41" s="25"/>
      <c r="B41" s="22"/>
      <c r="C41" s="22"/>
      <c r="D41" s="22"/>
      <c r="E41" s="22"/>
      <c r="F41" s="22"/>
      <c r="G41" s="22"/>
      <c r="H41" s="22"/>
      <c r="I41" s="22"/>
    </row>
    <row r="42" customFormat="false" ht="15" hidden="false" customHeight="false" outlineLevel="0" collapsed="false">
      <c r="A42" s="25"/>
      <c r="B42" s="22"/>
      <c r="C42" s="22"/>
      <c r="D42" s="22"/>
      <c r="E42" s="22"/>
      <c r="F42" s="22"/>
      <c r="G42" s="22"/>
      <c r="H42" s="22"/>
      <c r="I42" s="22"/>
    </row>
    <row r="43" customFormat="false" ht="15" hidden="false" customHeight="false" outlineLevel="0" collapsed="false">
      <c r="A43" s="25"/>
      <c r="B43" s="22"/>
      <c r="C43" s="22"/>
      <c r="D43" s="22"/>
      <c r="E43" s="22"/>
      <c r="F43" s="22"/>
      <c r="G43" s="22"/>
      <c r="H43" s="22"/>
      <c r="I43" s="22"/>
    </row>
    <row r="44" customFormat="false" ht="15" hidden="false" customHeight="false" outlineLevel="0" collapsed="false">
      <c r="A44" s="25"/>
      <c r="B44" s="22"/>
      <c r="C44" s="22"/>
      <c r="D44" s="22"/>
      <c r="E44" s="22"/>
      <c r="F44" s="22"/>
      <c r="G44" s="22"/>
      <c r="H44" s="22"/>
      <c r="I44" s="22"/>
    </row>
    <row r="45" customFormat="false" ht="15" hidden="false" customHeight="false" outlineLevel="0" collapsed="false">
      <c r="A45" s="25"/>
      <c r="B45" s="22"/>
      <c r="C45" s="22"/>
      <c r="D45" s="22"/>
      <c r="E45" s="22"/>
      <c r="F45" s="22"/>
      <c r="G45" s="22"/>
      <c r="H45" s="22"/>
      <c r="I45" s="22"/>
    </row>
    <row r="46" customFormat="false" ht="15" hidden="false" customHeight="false" outlineLevel="0" collapsed="false">
      <c r="A46" s="25"/>
      <c r="B46" s="22"/>
      <c r="C46" s="22"/>
      <c r="D46" s="22"/>
      <c r="E46" s="22"/>
      <c r="F46" s="22"/>
      <c r="G46" s="22"/>
      <c r="H46" s="22"/>
      <c r="I46" s="22"/>
    </row>
    <row r="47" customFormat="false" ht="15" hidden="false" customHeight="false" outlineLevel="0" collapsed="false">
      <c r="A47" s="25"/>
      <c r="B47" s="22"/>
      <c r="C47" s="22"/>
      <c r="D47" s="22"/>
      <c r="E47" s="22"/>
      <c r="F47" s="22"/>
      <c r="G47" s="22"/>
      <c r="H47" s="22"/>
      <c r="I47" s="22"/>
    </row>
    <row r="48" customFormat="false" ht="15" hidden="false" customHeight="false" outlineLevel="0" collapsed="false">
      <c r="A48" s="25"/>
      <c r="B48" s="22"/>
      <c r="C48" s="22"/>
      <c r="D48" s="22"/>
      <c r="E48" s="22"/>
      <c r="F48" s="22"/>
      <c r="G48" s="22"/>
      <c r="H48" s="22"/>
      <c r="I48" s="22"/>
    </row>
    <row r="49" customFormat="false" ht="15" hidden="false" customHeight="false" outlineLevel="0" collapsed="false">
      <c r="A49" s="25"/>
      <c r="B49" s="22"/>
      <c r="C49" s="22"/>
      <c r="D49" s="22"/>
      <c r="E49" s="22"/>
      <c r="F49" s="22"/>
      <c r="G49" s="22"/>
      <c r="H49" s="22"/>
      <c r="I49" s="22"/>
    </row>
    <row r="50" customFormat="false" ht="15" hidden="false" customHeight="false" outlineLevel="0" collapsed="false">
      <c r="A50" s="25"/>
      <c r="B50" s="22"/>
      <c r="C50" s="22"/>
      <c r="D50" s="22"/>
      <c r="E50" s="22"/>
      <c r="F50" s="22"/>
      <c r="G50" s="22"/>
      <c r="H50" s="22"/>
      <c r="I50" s="22"/>
    </row>
    <row r="51" customFormat="false" ht="15" hidden="false" customHeight="false" outlineLevel="0" collapsed="false">
      <c r="A51" s="25"/>
      <c r="B51" s="22"/>
      <c r="C51" s="22"/>
      <c r="D51" s="22"/>
      <c r="E51" s="22"/>
      <c r="F51" s="22"/>
      <c r="G51" s="22"/>
      <c r="H51" s="22"/>
      <c r="I51" s="22"/>
    </row>
    <row r="52" customFormat="false" ht="15" hidden="false" customHeight="false" outlineLevel="0" collapsed="false">
      <c r="A52" s="25"/>
      <c r="B52" s="22"/>
      <c r="C52" s="22"/>
      <c r="D52" s="22"/>
      <c r="E52" s="22"/>
      <c r="F52" s="22"/>
      <c r="G52" s="22"/>
      <c r="H52" s="22"/>
      <c r="I52" s="22"/>
    </row>
    <row r="53" customFormat="false" ht="15" hidden="false" customHeight="false" outlineLevel="0" collapsed="false">
      <c r="A53" s="25"/>
      <c r="B53" s="22"/>
      <c r="C53" s="22"/>
      <c r="D53" s="22"/>
      <c r="E53" s="22"/>
      <c r="F53" s="22"/>
      <c r="G53" s="22"/>
      <c r="H53" s="22"/>
      <c r="I53" s="22"/>
    </row>
    <row r="54" customFormat="false" ht="15" hidden="false" customHeight="false" outlineLevel="0" collapsed="false">
      <c r="A54" s="25"/>
      <c r="B54" s="22"/>
      <c r="C54" s="22"/>
      <c r="D54" s="22"/>
      <c r="E54" s="22"/>
      <c r="F54" s="22"/>
      <c r="G54" s="22"/>
      <c r="H54" s="22"/>
      <c r="I54" s="22"/>
    </row>
    <row r="55" customFormat="false" ht="15" hidden="false" customHeight="false" outlineLevel="0" collapsed="false">
      <c r="A55" s="25"/>
      <c r="B55" s="22"/>
      <c r="C55" s="22"/>
      <c r="D55" s="22"/>
      <c r="E55" s="22"/>
      <c r="F55" s="22"/>
      <c r="G55" s="22"/>
      <c r="H55" s="22"/>
      <c r="I55" s="22"/>
    </row>
    <row r="56" customFormat="false" ht="15" hidden="false" customHeight="false" outlineLevel="0" collapsed="false">
      <c r="A56" s="25"/>
      <c r="B56" s="22"/>
      <c r="C56" s="22"/>
      <c r="D56" s="22"/>
      <c r="E56" s="22"/>
      <c r="F56" s="22"/>
      <c r="G56" s="22"/>
      <c r="H56" s="22"/>
      <c r="I56" s="22"/>
    </row>
    <row r="57" customFormat="false" ht="15" hidden="false" customHeight="false" outlineLevel="0" collapsed="false">
      <c r="A57" s="25"/>
      <c r="B57" s="22"/>
      <c r="C57" s="22"/>
      <c r="D57" s="22"/>
      <c r="E57" s="22"/>
      <c r="F57" s="22"/>
      <c r="G57" s="22"/>
      <c r="H57" s="22"/>
      <c r="I57" s="22"/>
    </row>
    <row r="58" customFormat="false" ht="15" hidden="false" customHeight="false" outlineLevel="0" collapsed="false">
      <c r="A58" s="25"/>
      <c r="B58" s="22"/>
      <c r="C58" s="22"/>
      <c r="D58" s="22"/>
      <c r="E58" s="22"/>
      <c r="F58" s="22"/>
      <c r="G58" s="22"/>
      <c r="H58" s="22"/>
      <c r="I58" s="22"/>
    </row>
    <row r="59" customFormat="false" ht="15" hidden="false" customHeight="false" outlineLevel="0" collapsed="false">
      <c r="A59" s="25"/>
      <c r="B59" s="22"/>
      <c r="C59" s="22"/>
      <c r="D59" s="22"/>
      <c r="E59" s="22"/>
      <c r="F59" s="22"/>
      <c r="G59" s="22"/>
      <c r="H59" s="22"/>
      <c r="I59" s="22"/>
    </row>
  </sheetData>
  <dataValidations count="2">
    <dataValidation allowBlank="true" error="Pick a value from the list." errorStyle="stop" errorTitle="Not in list" operator="between" showDropDown="false" showErrorMessage="false" showInputMessage="false" sqref="G2:G200" type="list">
      <formula1>"Adopt,Iterate,Drop"</formula1>
      <formula2>0</formula2>
    </dataValidation>
    <dataValidation allowBlank="true" error="Pick a value from the list." errorStyle="stop" errorTitle="Not in list" operator="between" showDropDown="false" showErrorMessage="false" showInputMessage="false" sqref="C2:C200" type="list">
      <formula1>Methods!$A$2:$A$11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4"/>
    <col collapsed="false" customWidth="true" hidden="false" outlineLevel="0" max="5" min="4" style="0" width="40"/>
    <col collapsed="false" customWidth="true" hidden="false" outlineLevel="0" max="30" min="6" style="0" width="14"/>
  </cols>
  <sheetData>
    <row r="1" customFormat="false" ht="30" hidden="false" customHeight="true" outlineLevel="0" collapsed="false">
      <c r="A1" s="16" t="s">
        <v>723</v>
      </c>
      <c r="B1" s="16" t="s">
        <v>724</v>
      </c>
      <c r="C1" s="16" t="s">
        <v>725</v>
      </c>
      <c r="D1" s="16" t="s">
        <v>726</v>
      </c>
      <c r="E1" s="16" t="s">
        <v>727</v>
      </c>
      <c r="F1" s="16" t="s">
        <v>728</v>
      </c>
      <c r="G1" s="16" t="s">
        <v>729</v>
      </c>
      <c r="H1" s="16" t="s">
        <v>730</v>
      </c>
      <c r="I1" s="16" t="s">
        <v>731</v>
      </c>
      <c r="J1" s="16" t="s">
        <v>732</v>
      </c>
      <c r="K1" s="16" t="s">
        <v>733</v>
      </c>
      <c r="L1" s="16" t="s">
        <v>734</v>
      </c>
      <c r="M1" s="16" t="s">
        <v>735</v>
      </c>
      <c r="N1" s="16" t="s">
        <v>736</v>
      </c>
      <c r="O1" s="16" t="s">
        <v>737</v>
      </c>
      <c r="P1" s="16" t="s">
        <v>738</v>
      </c>
      <c r="Q1" s="16" t="s">
        <v>739</v>
      </c>
      <c r="R1" s="16" t="s">
        <v>740</v>
      </c>
      <c r="S1" s="16" t="s">
        <v>741</v>
      </c>
      <c r="T1" s="16" t="s">
        <v>742</v>
      </c>
      <c r="U1" s="16" t="s">
        <v>743</v>
      </c>
      <c r="V1" s="16" t="s">
        <v>744</v>
      </c>
      <c r="W1" s="16" t="s">
        <v>745</v>
      </c>
      <c r="X1" s="16" t="s">
        <v>746</v>
      </c>
      <c r="Y1" s="16" t="s">
        <v>747</v>
      </c>
      <c r="Z1" s="16" t="s">
        <v>748</v>
      </c>
      <c r="AA1" s="16" t="s">
        <v>749</v>
      </c>
      <c r="AB1" s="16" t="s">
        <v>120</v>
      </c>
      <c r="AC1" s="16" t="s">
        <v>750</v>
      </c>
      <c r="AD1" s="16" t="s">
        <v>751</v>
      </c>
    </row>
    <row r="2" customFormat="false" ht="15" hidden="false" customHeight="false" outlineLevel="0" collapsed="false">
      <c r="A2" s="10" t="n">
        <v>30</v>
      </c>
      <c r="B2" s="10" t="s">
        <v>121</v>
      </c>
      <c r="C2" s="10" t="s">
        <v>752</v>
      </c>
      <c r="D2" s="10" t="s">
        <v>122</v>
      </c>
      <c r="E2" s="10" t="s">
        <v>123</v>
      </c>
      <c r="F2" s="10" t="s">
        <v>125</v>
      </c>
      <c r="G2" s="10" t="s">
        <v>753</v>
      </c>
      <c r="H2" s="10" t="s">
        <v>127</v>
      </c>
      <c r="I2" s="10" t="s">
        <v>754</v>
      </c>
      <c r="J2" s="10" t="s">
        <v>127</v>
      </c>
      <c r="K2" s="10"/>
      <c r="L2" s="10" t="s">
        <v>124</v>
      </c>
      <c r="M2" s="10"/>
      <c r="N2" s="10" t="s">
        <v>755</v>
      </c>
      <c r="O2" s="10" t="s">
        <v>756</v>
      </c>
      <c r="P2" s="10"/>
      <c r="Q2" s="10" t="s">
        <v>757</v>
      </c>
      <c r="R2" s="10"/>
      <c r="S2" s="10" t="s">
        <v>758</v>
      </c>
      <c r="T2" s="10" t="s">
        <v>126</v>
      </c>
      <c r="U2" s="10" t="s">
        <v>126</v>
      </c>
      <c r="V2" s="10" t="s">
        <v>754</v>
      </c>
      <c r="W2" s="10" t="s">
        <v>756</v>
      </c>
      <c r="X2" s="10"/>
      <c r="Y2" s="10" t="s">
        <v>759</v>
      </c>
      <c r="Z2" s="10" t="s">
        <v>760</v>
      </c>
      <c r="AA2" s="10" t="s">
        <v>761</v>
      </c>
      <c r="AB2" s="10" t="s">
        <v>146</v>
      </c>
      <c r="AC2" s="10" t="s">
        <v>762</v>
      </c>
      <c r="AD2" s="10"/>
    </row>
    <row r="3" customFormat="false" ht="15" hidden="false" customHeight="false" outlineLevel="0" collapsed="false">
      <c r="A3" s="10" t="n">
        <v>31</v>
      </c>
      <c r="B3" s="10" t="s">
        <v>121</v>
      </c>
      <c r="C3" s="10" t="s">
        <v>752</v>
      </c>
      <c r="D3" s="10" t="s">
        <v>122</v>
      </c>
      <c r="E3" s="10" t="s">
        <v>147</v>
      </c>
      <c r="F3" s="10" t="s">
        <v>125</v>
      </c>
      <c r="G3" s="10" t="s">
        <v>753</v>
      </c>
      <c r="H3" s="10" t="s">
        <v>127</v>
      </c>
      <c r="I3" s="10" t="s">
        <v>754</v>
      </c>
      <c r="J3" s="10" t="s">
        <v>127</v>
      </c>
      <c r="K3" s="10"/>
      <c r="L3" s="10" t="s">
        <v>124</v>
      </c>
      <c r="M3" s="10"/>
      <c r="N3" s="10" t="s">
        <v>755</v>
      </c>
      <c r="O3" s="10" t="s">
        <v>756</v>
      </c>
      <c r="P3" s="10"/>
      <c r="Q3" s="10" t="s">
        <v>757</v>
      </c>
      <c r="R3" s="10"/>
      <c r="S3" s="10" t="s">
        <v>758</v>
      </c>
      <c r="T3" s="10" t="s">
        <v>126</v>
      </c>
      <c r="U3" s="10" t="s">
        <v>126</v>
      </c>
      <c r="V3" s="10" t="s">
        <v>754</v>
      </c>
      <c r="W3" s="10" t="s">
        <v>756</v>
      </c>
      <c r="X3" s="10"/>
      <c r="Y3" s="10" t="s">
        <v>763</v>
      </c>
      <c r="Z3" s="10" t="s">
        <v>760</v>
      </c>
      <c r="AA3" s="10" t="s">
        <v>761</v>
      </c>
      <c r="AB3" s="10" t="s">
        <v>161</v>
      </c>
      <c r="AC3" s="10" t="s">
        <v>762</v>
      </c>
      <c r="AD3" s="10"/>
    </row>
    <row r="4" customFormat="false" ht="15" hidden="false" customHeight="false" outlineLevel="0" collapsed="false">
      <c r="A4" s="10" t="n">
        <v>33</v>
      </c>
      <c r="B4" s="10" t="s">
        <v>121</v>
      </c>
      <c r="C4" s="10" t="s">
        <v>752</v>
      </c>
      <c r="D4" s="10" t="s">
        <v>122</v>
      </c>
      <c r="E4" s="10" t="s">
        <v>162</v>
      </c>
      <c r="F4" s="10" t="s">
        <v>125</v>
      </c>
      <c r="G4" s="10" t="s">
        <v>753</v>
      </c>
      <c r="H4" s="10" t="s">
        <v>127</v>
      </c>
      <c r="I4" s="10" t="s">
        <v>754</v>
      </c>
      <c r="J4" s="10" t="s">
        <v>127</v>
      </c>
      <c r="K4" s="10"/>
      <c r="L4" s="10" t="s">
        <v>124</v>
      </c>
      <c r="M4" s="10"/>
      <c r="N4" s="10" t="s">
        <v>755</v>
      </c>
      <c r="O4" s="10" t="s">
        <v>756</v>
      </c>
      <c r="P4" s="10"/>
      <c r="Q4" s="10" t="s">
        <v>757</v>
      </c>
      <c r="R4" s="10"/>
      <c r="S4" s="10" t="s">
        <v>758</v>
      </c>
      <c r="T4" s="10" t="s">
        <v>126</v>
      </c>
      <c r="U4" s="10" t="s">
        <v>126</v>
      </c>
      <c r="V4" s="10" t="s">
        <v>754</v>
      </c>
      <c r="W4" s="10" t="s">
        <v>756</v>
      </c>
      <c r="X4" s="10"/>
      <c r="Y4" s="10" t="s">
        <v>759</v>
      </c>
      <c r="Z4" s="10" t="s">
        <v>760</v>
      </c>
      <c r="AA4" s="10" t="s">
        <v>761</v>
      </c>
      <c r="AB4" s="10" t="s">
        <v>170</v>
      </c>
      <c r="AC4" s="10" t="s">
        <v>762</v>
      </c>
      <c r="AD4" s="10"/>
    </row>
    <row r="5" customFormat="false" ht="15" hidden="false" customHeight="false" outlineLevel="0" collapsed="false">
      <c r="A5" s="10" t="n">
        <v>34</v>
      </c>
      <c r="B5" s="10" t="s">
        <v>121</v>
      </c>
      <c r="C5" s="10" t="s">
        <v>752</v>
      </c>
      <c r="D5" s="10" t="s">
        <v>122</v>
      </c>
      <c r="E5" s="10" t="s">
        <v>171</v>
      </c>
      <c r="F5" s="10" t="s">
        <v>172</v>
      </c>
      <c r="G5" s="10" t="s">
        <v>753</v>
      </c>
      <c r="H5" s="10" t="s">
        <v>127</v>
      </c>
      <c r="I5" s="10" t="s">
        <v>754</v>
      </c>
      <c r="J5" s="10" t="s">
        <v>127</v>
      </c>
      <c r="K5" s="10"/>
      <c r="L5" s="10" t="s">
        <v>124</v>
      </c>
      <c r="M5" s="10"/>
      <c r="N5" s="10" t="s">
        <v>755</v>
      </c>
      <c r="O5" s="10" t="s">
        <v>756</v>
      </c>
      <c r="P5" s="10"/>
      <c r="Q5" s="10" t="s">
        <v>757</v>
      </c>
      <c r="R5" s="10"/>
      <c r="S5" s="10" t="s">
        <v>758</v>
      </c>
      <c r="T5" s="10" t="s">
        <v>173</v>
      </c>
      <c r="U5" s="10" t="s">
        <v>126</v>
      </c>
      <c r="V5" s="10" t="s">
        <v>754</v>
      </c>
      <c r="W5" s="10" t="s">
        <v>756</v>
      </c>
      <c r="X5" s="10"/>
      <c r="Y5" s="10" t="s">
        <v>759</v>
      </c>
      <c r="Z5" s="10" t="s">
        <v>760</v>
      </c>
      <c r="AA5" s="10" t="s">
        <v>761</v>
      </c>
      <c r="AB5" s="10" t="s">
        <v>186</v>
      </c>
      <c r="AC5" s="10" t="s">
        <v>762</v>
      </c>
      <c r="AD5" s="10"/>
    </row>
    <row r="6" customFormat="false" ht="15" hidden="false" customHeight="false" outlineLevel="0" collapsed="false">
      <c r="A6" s="10" t="n">
        <v>36</v>
      </c>
      <c r="B6" s="10" t="s">
        <v>121</v>
      </c>
      <c r="C6" s="10" t="s">
        <v>752</v>
      </c>
      <c r="D6" s="10" t="s">
        <v>122</v>
      </c>
      <c r="E6" s="10" t="s">
        <v>187</v>
      </c>
      <c r="F6" s="10" t="s">
        <v>172</v>
      </c>
      <c r="G6" s="10" t="s">
        <v>753</v>
      </c>
      <c r="H6" s="10" t="s">
        <v>127</v>
      </c>
      <c r="I6" s="10" t="s">
        <v>754</v>
      </c>
      <c r="J6" s="10" t="s">
        <v>127</v>
      </c>
      <c r="K6" s="10"/>
      <c r="L6" s="10" t="s">
        <v>124</v>
      </c>
      <c r="M6" s="10"/>
      <c r="N6" s="10" t="s">
        <v>755</v>
      </c>
      <c r="O6" s="10" t="s">
        <v>756</v>
      </c>
      <c r="P6" s="10"/>
      <c r="Q6" s="10" t="s">
        <v>757</v>
      </c>
      <c r="R6" s="10"/>
      <c r="S6" s="10" t="s">
        <v>758</v>
      </c>
      <c r="T6" s="10" t="s">
        <v>173</v>
      </c>
      <c r="U6" s="10" t="s">
        <v>126</v>
      </c>
      <c r="V6" s="10" t="s">
        <v>754</v>
      </c>
      <c r="W6" s="10" t="s">
        <v>756</v>
      </c>
      <c r="X6" s="10"/>
      <c r="Y6" s="10" t="s">
        <v>759</v>
      </c>
      <c r="Z6" s="10" t="s">
        <v>760</v>
      </c>
      <c r="AA6" s="10" t="s">
        <v>761</v>
      </c>
      <c r="AB6" s="10" t="s">
        <v>198</v>
      </c>
      <c r="AC6" s="10" t="s">
        <v>762</v>
      </c>
      <c r="AD6" s="10"/>
    </row>
    <row r="7" customFormat="false" ht="15" hidden="false" customHeight="false" outlineLevel="0" collapsed="false">
      <c r="A7" s="10" t="n">
        <v>37</v>
      </c>
      <c r="B7" s="10" t="s">
        <v>121</v>
      </c>
      <c r="C7" s="10" t="s">
        <v>752</v>
      </c>
      <c r="D7" s="10" t="s">
        <v>122</v>
      </c>
      <c r="E7" s="10" t="s">
        <v>199</v>
      </c>
      <c r="F7" s="10" t="s">
        <v>125</v>
      </c>
      <c r="G7" s="10" t="s">
        <v>753</v>
      </c>
      <c r="H7" s="10" t="s">
        <v>127</v>
      </c>
      <c r="I7" s="10" t="s">
        <v>754</v>
      </c>
      <c r="J7" s="10" t="s">
        <v>127</v>
      </c>
      <c r="K7" s="10"/>
      <c r="L7" s="10" t="s">
        <v>124</v>
      </c>
      <c r="M7" s="10"/>
      <c r="N7" s="10" t="s">
        <v>755</v>
      </c>
      <c r="O7" s="10" t="s">
        <v>756</v>
      </c>
      <c r="P7" s="10"/>
      <c r="Q7" s="10" t="s">
        <v>757</v>
      </c>
      <c r="R7" s="10"/>
      <c r="S7" s="10" t="s">
        <v>758</v>
      </c>
      <c r="T7" s="10" t="s">
        <v>173</v>
      </c>
      <c r="U7" s="10" t="s">
        <v>126</v>
      </c>
      <c r="V7" s="10" t="s">
        <v>754</v>
      </c>
      <c r="W7" s="10" t="s">
        <v>756</v>
      </c>
      <c r="X7" s="10"/>
      <c r="Y7" s="10" t="s">
        <v>759</v>
      </c>
      <c r="Z7" s="10" t="s">
        <v>760</v>
      </c>
      <c r="AA7" s="10" t="s">
        <v>761</v>
      </c>
      <c r="AB7" s="10" t="s">
        <v>207</v>
      </c>
      <c r="AC7" s="10" t="s">
        <v>762</v>
      </c>
      <c r="AD7" s="10"/>
    </row>
    <row r="8" customFormat="false" ht="15" hidden="false" customHeight="false" outlineLevel="0" collapsed="false">
      <c r="A8" s="10" t="n">
        <v>38</v>
      </c>
      <c r="B8" s="10" t="s">
        <v>121</v>
      </c>
      <c r="C8" s="10" t="s">
        <v>752</v>
      </c>
      <c r="D8" s="10" t="s">
        <v>122</v>
      </c>
      <c r="E8" s="10" t="s">
        <v>208</v>
      </c>
      <c r="F8" s="10" t="s">
        <v>125</v>
      </c>
      <c r="G8" s="10" t="s">
        <v>753</v>
      </c>
      <c r="H8" s="10" t="s">
        <v>127</v>
      </c>
      <c r="I8" s="10" t="s">
        <v>754</v>
      </c>
      <c r="J8" s="10" t="s">
        <v>127</v>
      </c>
      <c r="K8" s="10"/>
      <c r="L8" s="10" t="s">
        <v>124</v>
      </c>
      <c r="M8" s="10"/>
      <c r="N8" s="10" t="s">
        <v>755</v>
      </c>
      <c r="O8" s="10" t="s">
        <v>756</v>
      </c>
      <c r="P8" s="10"/>
      <c r="Q8" s="10" t="s">
        <v>757</v>
      </c>
      <c r="R8" s="10"/>
      <c r="S8" s="10" t="s">
        <v>758</v>
      </c>
      <c r="T8" s="10" t="s">
        <v>173</v>
      </c>
      <c r="U8" s="10" t="s">
        <v>126</v>
      </c>
      <c r="V8" s="10" t="s">
        <v>754</v>
      </c>
      <c r="W8" s="10" t="s">
        <v>756</v>
      </c>
      <c r="X8" s="10"/>
      <c r="Y8" s="10" t="s">
        <v>759</v>
      </c>
      <c r="Z8" s="10" t="s">
        <v>760</v>
      </c>
      <c r="AA8" s="10" t="s">
        <v>761</v>
      </c>
      <c r="AB8" s="10" t="s">
        <v>216</v>
      </c>
      <c r="AC8" s="10" t="s">
        <v>762</v>
      </c>
      <c r="AD8" s="10"/>
    </row>
    <row r="9" customFormat="false" ht="15" hidden="false" customHeight="false" outlineLevel="0" collapsed="false">
      <c r="A9" s="10" t="n">
        <v>40</v>
      </c>
      <c r="B9" s="10" t="s">
        <v>121</v>
      </c>
      <c r="C9" s="10" t="s">
        <v>752</v>
      </c>
      <c r="D9" s="10" t="s">
        <v>217</v>
      </c>
      <c r="E9" s="10" t="s">
        <v>218</v>
      </c>
      <c r="F9" s="10" t="s">
        <v>172</v>
      </c>
      <c r="G9" s="10" t="s">
        <v>753</v>
      </c>
      <c r="H9" s="10" t="s">
        <v>127</v>
      </c>
      <c r="I9" s="10" t="s">
        <v>754</v>
      </c>
      <c r="J9" s="10" t="s">
        <v>127</v>
      </c>
      <c r="K9" s="10"/>
      <c r="L9" s="10" t="s">
        <v>124</v>
      </c>
      <c r="M9" s="10" t="s">
        <v>764</v>
      </c>
      <c r="N9" s="10" t="s">
        <v>755</v>
      </c>
      <c r="O9" s="10" t="s">
        <v>756</v>
      </c>
      <c r="P9" s="10"/>
      <c r="Q9" s="10" t="s">
        <v>757</v>
      </c>
      <c r="R9" s="10"/>
      <c r="S9" s="10" t="s">
        <v>758</v>
      </c>
      <c r="T9" s="10" t="s">
        <v>173</v>
      </c>
      <c r="U9" s="10" t="s">
        <v>126</v>
      </c>
      <c r="V9" s="10" t="s">
        <v>754</v>
      </c>
      <c r="W9" s="10" t="s">
        <v>756</v>
      </c>
      <c r="X9" s="10"/>
      <c r="Y9" s="10" t="s">
        <v>759</v>
      </c>
      <c r="Z9" s="10" t="s">
        <v>760</v>
      </c>
      <c r="AA9" s="10" t="s">
        <v>765</v>
      </c>
      <c r="AB9" s="10" t="s">
        <v>227</v>
      </c>
      <c r="AC9" s="10" t="s">
        <v>762</v>
      </c>
      <c r="AD9" s="10"/>
    </row>
    <row r="10" customFormat="false" ht="15" hidden="false" customHeight="false" outlineLevel="0" collapsed="false">
      <c r="A10" s="10" t="n">
        <v>63</v>
      </c>
      <c r="B10" s="10" t="s">
        <v>121</v>
      </c>
      <c r="C10" s="10" t="s">
        <v>752</v>
      </c>
      <c r="D10" s="10" t="s">
        <v>228</v>
      </c>
      <c r="E10" s="10" t="s">
        <v>229</v>
      </c>
      <c r="F10" s="10" t="s">
        <v>172</v>
      </c>
      <c r="G10" s="10" t="s">
        <v>753</v>
      </c>
      <c r="H10" s="10" t="s">
        <v>127</v>
      </c>
      <c r="I10" s="10" t="s">
        <v>754</v>
      </c>
      <c r="J10" s="10" t="s">
        <v>127</v>
      </c>
      <c r="K10" s="10"/>
      <c r="L10" s="10" t="s">
        <v>124</v>
      </c>
      <c r="M10" s="10"/>
      <c r="N10" s="10" t="s">
        <v>755</v>
      </c>
      <c r="O10" s="10" t="s">
        <v>756</v>
      </c>
      <c r="P10" s="10"/>
      <c r="Q10" s="10" t="s">
        <v>757</v>
      </c>
      <c r="R10" s="10"/>
      <c r="S10" s="10" t="s">
        <v>758</v>
      </c>
      <c r="T10" s="10" t="s">
        <v>173</v>
      </c>
      <c r="U10" s="10" t="s">
        <v>126</v>
      </c>
      <c r="V10" s="10" t="s">
        <v>754</v>
      </c>
      <c r="W10" s="10" t="s">
        <v>756</v>
      </c>
      <c r="X10" s="10"/>
      <c r="Y10" s="10" t="s">
        <v>759</v>
      </c>
      <c r="Z10" s="10" t="s">
        <v>760</v>
      </c>
      <c r="AA10" s="10" t="s">
        <v>766</v>
      </c>
      <c r="AB10" s="10" t="s">
        <v>238</v>
      </c>
      <c r="AC10" s="10" t="s">
        <v>762</v>
      </c>
      <c r="AD10" s="10"/>
    </row>
    <row r="11" customFormat="false" ht="15" hidden="false" customHeight="false" outlineLevel="0" collapsed="false">
      <c r="A11" s="10" t="n">
        <v>69</v>
      </c>
      <c r="B11" s="10" t="s">
        <v>121</v>
      </c>
      <c r="C11" s="10" t="s">
        <v>752</v>
      </c>
      <c r="D11" s="10" t="s">
        <v>239</v>
      </c>
      <c r="E11" s="10" t="s">
        <v>240</v>
      </c>
      <c r="F11" s="10" t="s">
        <v>125</v>
      </c>
      <c r="G11" s="10" t="s">
        <v>753</v>
      </c>
      <c r="H11" s="10" t="s">
        <v>127</v>
      </c>
      <c r="I11" s="10" t="s">
        <v>754</v>
      </c>
      <c r="J11" s="10" t="s">
        <v>127</v>
      </c>
      <c r="K11" s="10"/>
      <c r="L11" s="10" t="s">
        <v>124</v>
      </c>
      <c r="M11" s="10"/>
      <c r="N11" s="10" t="s">
        <v>767</v>
      </c>
      <c r="O11" s="10" t="s">
        <v>756</v>
      </c>
      <c r="P11" s="10"/>
      <c r="Q11" s="10" t="s">
        <v>757</v>
      </c>
      <c r="R11" s="10"/>
      <c r="S11" s="10" t="s">
        <v>758</v>
      </c>
      <c r="T11" s="10" t="s">
        <v>126</v>
      </c>
      <c r="U11" s="10" t="s">
        <v>126</v>
      </c>
      <c r="V11" s="10" t="s">
        <v>754</v>
      </c>
      <c r="W11" s="10" t="s">
        <v>756</v>
      </c>
      <c r="X11" s="10"/>
      <c r="Y11" s="10" t="s">
        <v>759</v>
      </c>
      <c r="Z11" s="10" t="s">
        <v>760</v>
      </c>
      <c r="AA11" s="10" t="s">
        <v>768</v>
      </c>
      <c r="AB11" s="10" t="s">
        <v>252</v>
      </c>
      <c r="AC11" s="10" t="s">
        <v>762</v>
      </c>
      <c r="AD11" s="10"/>
    </row>
    <row r="12" customFormat="false" ht="15" hidden="false" customHeight="false" outlineLevel="0" collapsed="false">
      <c r="A12" s="10" t="n">
        <v>72</v>
      </c>
      <c r="B12" s="10" t="s">
        <v>253</v>
      </c>
      <c r="C12" s="10" t="s">
        <v>752</v>
      </c>
      <c r="D12" s="10" t="s">
        <v>254</v>
      </c>
      <c r="E12" s="10" t="s">
        <v>147</v>
      </c>
      <c r="F12" s="10" t="s">
        <v>125</v>
      </c>
      <c r="G12" s="10" t="s">
        <v>753</v>
      </c>
      <c r="H12" s="10" t="s">
        <v>127</v>
      </c>
      <c r="I12" s="10" t="s">
        <v>754</v>
      </c>
      <c r="J12" s="10" t="s">
        <v>127</v>
      </c>
      <c r="K12" s="10"/>
      <c r="L12" s="10" t="s">
        <v>124</v>
      </c>
      <c r="M12" s="10"/>
      <c r="N12" s="10" t="s">
        <v>755</v>
      </c>
      <c r="O12" s="10" t="s">
        <v>756</v>
      </c>
      <c r="P12" s="10"/>
      <c r="Q12" s="10" t="s">
        <v>757</v>
      </c>
      <c r="R12" s="10"/>
      <c r="S12" s="10" t="s">
        <v>758</v>
      </c>
      <c r="T12" s="10" t="s">
        <v>126</v>
      </c>
      <c r="U12" s="10" t="s">
        <v>126</v>
      </c>
      <c r="V12" s="10" t="s">
        <v>754</v>
      </c>
      <c r="W12" s="10" t="s">
        <v>756</v>
      </c>
      <c r="X12" s="10"/>
      <c r="Y12" s="10" t="s">
        <v>759</v>
      </c>
      <c r="Z12" s="10" t="s">
        <v>769</v>
      </c>
      <c r="AA12" s="10" t="s">
        <v>770</v>
      </c>
      <c r="AB12" s="10" t="s">
        <v>161</v>
      </c>
      <c r="AC12" s="10" t="s">
        <v>762</v>
      </c>
      <c r="AD12" s="10"/>
    </row>
    <row r="13" customFormat="false" ht="15" hidden="false" customHeight="false" outlineLevel="0" collapsed="false">
      <c r="A13" s="10" t="n">
        <v>76</v>
      </c>
      <c r="B13" s="10" t="s">
        <v>253</v>
      </c>
      <c r="C13" s="10" t="s">
        <v>752</v>
      </c>
      <c r="D13" s="10" t="s">
        <v>254</v>
      </c>
      <c r="E13" s="10" t="s">
        <v>187</v>
      </c>
      <c r="F13" s="10" t="s">
        <v>172</v>
      </c>
      <c r="G13" s="10" t="s">
        <v>753</v>
      </c>
      <c r="H13" s="10" t="s">
        <v>127</v>
      </c>
      <c r="I13" s="10" t="s">
        <v>754</v>
      </c>
      <c r="J13" s="10" t="s">
        <v>127</v>
      </c>
      <c r="K13" s="10"/>
      <c r="L13" s="10" t="s">
        <v>124</v>
      </c>
      <c r="M13" s="10"/>
      <c r="N13" s="10" t="s">
        <v>755</v>
      </c>
      <c r="O13" s="10" t="s">
        <v>756</v>
      </c>
      <c r="P13" s="10"/>
      <c r="Q13" s="10" t="s">
        <v>757</v>
      </c>
      <c r="R13" s="10"/>
      <c r="S13" s="10" t="s">
        <v>758</v>
      </c>
      <c r="T13" s="10" t="s">
        <v>173</v>
      </c>
      <c r="U13" s="10" t="s">
        <v>126</v>
      </c>
      <c r="V13" s="10" t="s">
        <v>754</v>
      </c>
      <c r="W13" s="10" t="s">
        <v>756</v>
      </c>
      <c r="X13" s="10"/>
      <c r="Y13" s="10" t="s">
        <v>759</v>
      </c>
      <c r="Z13" s="10" t="s">
        <v>769</v>
      </c>
      <c r="AA13" s="10" t="s">
        <v>770</v>
      </c>
      <c r="AB13" s="10" t="s">
        <v>198</v>
      </c>
      <c r="AC13" s="10" t="s">
        <v>762</v>
      </c>
      <c r="AD13" s="10"/>
    </row>
    <row r="14" customFormat="false" ht="15" hidden="false" customHeight="false" outlineLevel="0" collapsed="false">
      <c r="A14" s="10" t="n">
        <v>77</v>
      </c>
      <c r="B14" s="10" t="s">
        <v>253</v>
      </c>
      <c r="C14" s="10" t="s">
        <v>752</v>
      </c>
      <c r="D14" s="10" t="s">
        <v>266</v>
      </c>
      <c r="E14" s="10" t="s">
        <v>123</v>
      </c>
      <c r="F14" s="10" t="s">
        <v>125</v>
      </c>
      <c r="G14" s="10" t="s">
        <v>753</v>
      </c>
      <c r="H14" s="10" t="s">
        <v>127</v>
      </c>
      <c r="I14" s="10" t="s">
        <v>754</v>
      </c>
      <c r="J14" s="10" t="s">
        <v>127</v>
      </c>
      <c r="K14" s="10"/>
      <c r="L14" s="10" t="s">
        <v>124</v>
      </c>
      <c r="M14" s="10"/>
      <c r="N14" s="10" t="s">
        <v>755</v>
      </c>
      <c r="O14" s="10" t="s">
        <v>756</v>
      </c>
      <c r="P14" s="10"/>
      <c r="Q14" s="10" t="s">
        <v>757</v>
      </c>
      <c r="R14" s="10"/>
      <c r="S14" s="10" t="s">
        <v>758</v>
      </c>
      <c r="T14" s="10" t="s">
        <v>126</v>
      </c>
      <c r="U14" s="10" t="s">
        <v>126</v>
      </c>
      <c r="V14" s="10" t="s">
        <v>754</v>
      </c>
      <c r="W14" s="10" t="s">
        <v>756</v>
      </c>
      <c r="X14" s="10"/>
      <c r="Y14" s="10" t="s">
        <v>759</v>
      </c>
      <c r="Z14" s="10" t="s">
        <v>769</v>
      </c>
      <c r="AA14" s="10" t="s">
        <v>771</v>
      </c>
      <c r="AB14" s="10" t="s">
        <v>146</v>
      </c>
      <c r="AC14" s="10" t="s">
        <v>762</v>
      </c>
      <c r="AD14" s="10"/>
    </row>
    <row r="15" customFormat="false" ht="15" hidden="false" customHeight="false" outlineLevel="0" collapsed="false">
      <c r="A15" s="10" t="n">
        <v>79</v>
      </c>
      <c r="B15" s="10" t="s">
        <v>253</v>
      </c>
      <c r="C15" s="10" t="s">
        <v>752</v>
      </c>
      <c r="D15" s="10" t="s">
        <v>266</v>
      </c>
      <c r="E15" s="10" t="s">
        <v>162</v>
      </c>
      <c r="F15" s="10" t="s">
        <v>125</v>
      </c>
      <c r="G15" s="10" t="s">
        <v>753</v>
      </c>
      <c r="H15" s="10" t="s">
        <v>127</v>
      </c>
      <c r="I15" s="10" t="s">
        <v>754</v>
      </c>
      <c r="J15" s="10" t="s">
        <v>127</v>
      </c>
      <c r="K15" s="10"/>
      <c r="L15" s="10" t="s">
        <v>124</v>
      </c>
      <c r="M15" s="10"/>
      <c r="N15" s="10" t="s">
        <v>755</v>
      </c>
      <c r="O15" s="10" t="s">
        <v>756</v>
      </c>
      <c r="P15" s="10"/>
      <c r="Q15" s="10" t="s">
        <v>757</v>
      </c>
      <c r="R15" s="10"/>
      <c r="S15" s="10" t="s">
        <v>758</v>
      </c>
      <c r="T15" s="10" t="s">
        <v>126</v>
      </c>
      <c r="U15" s="10" t="s">
        <v>126</v>
      </c>
      <c r="V15" s="10" t="s">
        <v>754</v>
      </c>
      <c r="W15" s="10" t="s">
        <v>756</v>
      </c>
      <c r="X15" s="10"/>
      <c r="Y15" s="10" t="s">
        <v>759</v>
      </c>
      <c r="Z15" s="10" t="s">
        <v>769</v>
      </c>
      <c r="AA15" s="10" t="s">
        <v>771</v>
      </c>
      <c r="AB15" s="10" t="s">
        <v>170</v>
      </c>
      <c r="AC15" s="10" t="s">
        <v>762</v>
      </c>
      <c r="AD15" s="10"/>
    </row>
    <row r="16" customFormat="false" ht="15" hidden="false" customHeight="false" outlineLevel="0" collapsed="false">
      <c r="A16" s="10" t="n">
        <v>83</v>
      </c>
      <c r="B16" s="10" t="s">
        <v>253</v>
      </c>
      <c r="C16" s="10" t="s">
        <v>752</v>
      </c>
      <c r="D16" s="10" t="s">
        <v>266</v>
      </c>
      <c r="E16" s="10" t="s">
        <v>272</v>
      </c>
      <c r="F16" s="10" t="s">
        <v>172</v>
      </c>
      <c r="G16" s="10" t="s">
        <v>753</v>
      </c>
      <c r="H16" s="10" t="s">
        <v>127</v>
      </c>
      <c r="I16" s="10" t="s">
        <v>754</v>
      </c>
      <c r="J16" s="10" t="s">
        <v>127</v>
      </c>
      <c r="K16" s="10"/>
      <c r="L16" s="10" t="s">
        <v>124</v>
      </c>
      <c r="M16" s="10"/>
      <c r="N16" s="10" t="s">
        <v>755</v>
      </c>
      <c r="O16" s="10" t="s">
        <v>756</v>
      </c>
      <c r="P16" s="10"/>
      <c r="Q16" s="10" t="s">
        <v>757</v>
      </c>
      <c r="R16" s="10"/>
      <c r="S16" s="10" t="s">
        <v>758</v>
      </c>
      <c r="T16" s="10" t="s">
        <v>173</v>
      </c>
      <c r="U16" s="10" t="s">
        <v>126</v>
      </c>
      <c r="V16" s="10" t="s">
        <v>754</v>
      </c>
      <c r="W16" s="10" t="s">
        <v>756</v>
      </c>
      <c r="X16" s="10"/>
      <c r="Y16" s="10" t="s">
        <v>759</v>
      </c>
      <c r="Z16" s="10" t="s">
        <v>769</v>
      </c>
      <c r="AA16" s="10" t="s">
        <v>771</v>
      </c>
      <c r="AB16" s="10" t="s">
        <v>278</v>
      </c>
      <c r="AC16" s="10" t="s">
        <v>762</v>
      </c>
      <c r="AD16" s="10"/>
    </row>
    <row r="17" customFormat="false" ht="15" hidden="false" customHeight="false" outlineLevel="0" collapsed="false">
      <c r="A17" s="10" t="n">
        <v>84</v>
      </c>
      <c r="B17" s="10" t="s">
        <v>253</v>
      </c>
      <c r="C17" s="10" t="s">
        <v>752</v>
      </c>
      <c r="D17" s="10" t="s">
        <v>266</v>
      </c>
      <c r="E17" s="10" t="s">
        <v>279</v>
      </c>
      <c r="F17" s="10" t="s">
        <v>125</v>
      </c>
      <c r="G17" s="10" t="s">
        <v>753</v>
      </c>
      <c r="H17" s="10" t="s">
        <v>127</v>
      </c>
      <c r="I17" s="10" t="s">
        <v>754</v>
      </c>
      <c r="J17" s="10" t="s">
        <v>127</v>
      </c>
      <c r="K17" s="10"/>
      <c r="L17" s="10" t="s">
        <v>124</v>
      </c>
      <c r="M17" s="10"/>
      <c r="N17" s="10" t="s">
        <v>755</v>
      </c>
      <c r="O17" s="10" t="s">
        <v>756</v>
      </c>
      <c r="P17" s="10"/>
      <c r="Q17" s="10" t="s">
        <v>757</v>
      </c>
      <c r="R17" s="10"/>
      <c r="S17" s="10" t="s">
        <v>758</v>
      </c>
      <c r="T17" s="10" t="s">
        <v>126</v>
      </c>
      <c r="U17" s="10" t="s">
        <v>126</v>
      </c>
      <c r="V17" s="10" t="s">
        <v>754</v>
      </c>
      <c r="W17" s="10" t="s">
        <v>756</v>
      </c>
      <c r="X17" s="10"/>
      <c r="Y17" s="10" t="s">
        <v>759</v>
      </c>
      <c r="Z17" s="10" t="s">
        <v>769</v>
      </c>
      <c r="AA17" s="10" t="s">
        <v>771</v>
      </c>
      <c r="AB17" s="10" t="s">
        <v>286</v>
      </c>
      <c r="AC17" s="10" t="s">
        <v>762</v>
      </c>
      <c r="AD17" s="10"/>
    </row>
    <row r="18" customFormat="false" ht="15" hidden="false" customHeight="false" outlineLevel="0" collapsed="false">
      <c r="A18" s="10" t="n">
        <v>107</v>
      </c>
      <c r="B18" s="10" t="s">
        <v>287</v>
      </c>
      <c r="C18" s="10"/>
      <c r="D18" s="10" t="s">
        <v>288</v>
      </c>
      <c r="E18" s="10" t="s">
        <v>289</v>
      </c>
      <c r="F18" s="10" t="s">
        <v>172</v>
      </c>
      <c r="G18" s="10" t="s">
        <v>753</v>
      </c>
      <c r="H18" s="10" t="s">
        <v>127</v>
      </c>
      <c r="I18" s="10" t="s">
        <v>754</v>
      </c>
      <c r="J18" s="10" t="s">
        <v>127</v>
      </c>
      <c r="K18" s="10"/>
      <c r="L18" s="10" t="s">
        <v>290</v>
      </c>
      <c r="M18" s="10"/>
      <c r="N18" s="10" t="s">
        <v>755</v>
      </c>
      <c r="O18" s="10" t="s">
        <v>756</v>
      </c>
      <c r="P18" s="10"/>
      <c r="Q18" s="10" t="s">
        <v>757</v>
      </c>
      <c r="R18" s="10"/>
      <c r="S18" s="10" t="s">
        <v>758</v>
      </c>
      <c r="T18" s="10" t="s">
        <v>126</v>
      </c>
      <c r="U18" s="10" t="s">
        <v>173</v>
      </c>
      <c r="V18" s="10" t="s">
        <v>772</v>
      </c>
      <c r="W18" s="10"/>
      <c r="X18" s="10"/>
      <c r="Y18" s="10"/>
      <c r="Z18" s="10" t="s">
        <v>773</v>
      </c>
      <c r="AA18" s="10" t="s">
        <v>774</v>
      </c>
      <c r="AB18" s="10" t="s">
        <v>300</v>
      </c>
      <c r="AC18" s="10" t="s">
        <v>775</v>
      </c>
      <c r="AD18" s="10"/>
    </row>
    <row r="19" customFormat="false" ht="15" hidden="false" customHeight="false" outlineLevel="0" collapsed="false">
      <c r="A19" s="10" t="n">
        <v>108</v>
      </c>
      <c r="B19" s="10" t="s">
        <v>287</v>
      </c>
      <c r="C19" s="10"/>
      <c r="D19" s="10" t="s">
        <v>288</v>
      </c>
      <c r="E19" s="10" t="s">
        <v>301</v>
      </c>
      <c r="F19" s="10" t="s">
        <v>172</v>
      </c>
      <c r="G19" s="10" t="s">
        <v>753</v>
      </c>
      <c r="H19" s="10" t="s">
        <v>127</v>
      </c>
      <c r="I19" s="10" t="s">
        <v>754</v>
      </c>
      <c r="J19" s="10" t="s">
        <v>127</v>
      </c>
      <c r="K19" s="10"/>
      <c r="L19" s="10" t="s">
        <v>290</v>
      </c>
      <c r="M19" s="10"/>
      <c r="N19" s="10" t="s">
        <v>755</v>
      </c>
      <c r="O19" s="10" t="s">
        <v>756</v>
      </c>
      <c r="P19" s="10"/>
      <c r="Q19" s="10" t="s">
        <v>757</v>
      </c>
      <c r="R19" s="10"/>
      <c r="S19" s="10" t="s">
        <v>758</v>
      </c>
      <c r="T19" s="10" t="s">
        <v>126</v>
      </c>
      <c r="U19" s="10" t="s">
        <v>173</v>
      </c>
      <c r="V19" s="10" t="s">
        <v>772</v>
      </c>
      <c r="W19" s="10"/>
      <c r="X19" s="10"/>
      <c r="Y19" s="10"/>
      <c r="Z19" s="10" t="s">
        <v>773</v>
      </c>
      <c r="AA19" s="10" t="s">
        <v>774</v>
      </c>
      <c r="AB19" s="10" t="s">
        <v>308</v>
      </c>
      <c r="AC19" s="10" t="s">
        <v>775</v>
      </c>
      <c r="AD19" s="10"/>
    </row>
    <row r="20" customFormat="false" ht="15" hidden="false" customHeight="false" outlineLevel="0" collapsed="false">
      <c r="A20" s="10" t="n">
        <v>109</v>
      </c>
      <c r="B20" s="10" t="s">
        <v>287</v>
      </c>
      <c r="C20" s="10"/>
      <c r="D20" s="10" t="s">
        <v>288</v>
      </c>
      <c r="E20" s="10" t="s">
        <v>309</v>
      </c>
      <c r="F20" s="10" t="s">
        <v>125</v>
      </c>
      <c r="G20" s="10" t="s">
        <v>753</v>
      </c>
      <c r="H20" s="10" t="s">
        <v>127</v>
      </c>
      <c r="I20" s="10" t="s">
        <v>754</v>
      </c>
      <c r="J20" s="10" t="s">
        <v>127</v>
      </c>
      <c r="K20" s="10"/>
      <c r="L20" s="10" t="s">
        <v>290</v>
      </c>
      <c r="M20" s="10"/>
      <c r="N20" s="10" t="s">
        <v>755</v>
      </c>
      <c r="O20" s="10" t="s">
        <v>756</v>
      </c>
      <c r="P20" s="10"/>
      <c r="Q20" s="10" t="s">
        <v>757</v>
      </c>
      <c r="R20" s="10"/>
      <c r="S20" s="10" t="s">
        <v>758</v>
      </c>
      <c r="T20" s="10" t="s">
        <v>126</v>
      </c>
      <c r="U20" s="10" t="s">
        <v>173</v>
      </c>
      <c r="V20" s="10" t="s">
        <v>772</v>
      </c>
      <c r="W20" s="10"/>
      <c r="X20" s="10"/>
      <c r="Y20" s="10"/>
      <c r="Z20" s="10" t="s">
        <v>773</v>
      </c>
      <c r="AA20" s="10" t="s">
        <v>774</v>
      </c>
      <c r="AB20" s="10" t="s">
        <v>316</v>
      </c>
      <c r="AC20" s="10" t="s">
        <v>775</v>
      </c>
      <c r="AD20" s="10"/>
    </row>
    <row r="21" customFormat="false" ht="15" hidden="false" customHeight="false" outlineLevel="0" collapsed="false">
      <c r="A21" s="10" t="n">
        <v>110</v>
      </c>
      <c r="B21" s="10" t="s">
        <v>287</v>
      </c>
      <c r="C21" s="10"/>
      <c r="D21" s="10" t="s">
        <v>317</v>
      </c>
      <c r="E21" s="10" t="s">
        <v>318</v>
      </c>
      <c r="F21" s="10" t="s">
        <v>172</v>
      </c>
      <c r="G21" s="10" t="s">
        <v>753</v>
      </c>
      <c r="H21" s="10" t="s">
        <v>127</v>
      </c>
      <c r="I21" s="10" t="s">
        <v>754</v>
      </c>
      <c r="J21" s="10" t="s">
        <v>127</v>
      </c>
      <c r="K21" s="10"/>
      <c r="L21" s="10" t="s">
        <v>290</v>
      </c>
      <c r="M21" s="10"/>
      <c r="N21" s="10" t="s">
        <v>755</v>
      </c>
      <c r="O21" s="10" t="s">
        <v>756</v>
      </c>
      <c r="P21" s="10"/>
      <c r="Q21" s="10" t="s">
        <v>757</v>
      </c>
      <c r="R21" s="10"/>
      <c r="S21" s="10" t="s">
        <v>758</v>
      </c>
      <c r="T21" s="10" t="s">
        <v>126</v>
      </c>
      <c r="U21" s="10" t="s">
        <v>173</v>
      </c>
      <c r="V21" s="10" t="s">
        <v>772</v>
      </c>
      <c r="W21" s="10"/>
      <c r="X21" s="10"/>
      <c r="Y21" s="10"/>
      <c r="Z21" s="10" t="s">
        <v>773</v>
      </c>
      <c r="AA21" s="10" t="s">
        <v>776</v>
      </c>
      <c r="AB21" s="10" t="s">
        <v>326</v>
      </c>
      <c r="AC21" s="10" t="s">
        <v>775</v>
      </c>
      <c r="AD21" s="10"/>
    </row>
    <row r="22" customFormat="false" ht="15" hidden="false" customHeight="false" outlineLevel="0" collapsed="false">
      <c r="A22" s="10" t="n">
        <v>111</v>
      </c>
      <c r="B22" s="10" t="s">
        <v>287</v>
      </c>
      <c r="C22" s="10"/>
      <c r="D22" s="10" t="s">
        <v>327</v>
      </c>
      <c r="E22" s="10" t="s">
        <v>328</v>
      </c>
      <c r="F22" s="10" t="s">
        <v>172</v>
      </c>
      <c r="G22" s="10" t="s">
        <v>753</v>
      </c>
      <c r="H22" s="10" t="s">
        <v>127</v>
      </c>
      <c r="I22" s="10" t="s">
        <v>754</v>
      </c>
      <c r="J22" s="10" t="s">
        <v>127</v>
      </c>
      <c r="K22" s="10"/>
      <c r="L22" s="10" t="s">
        <v>290</v>
      </c>
      <c r="M22" s="10"/>
      <c r="N22" s="10" t="s">
        <v>755</v>
      </c>
      <c r="O22" s="10" t="s">
        <v>756</v>
      </c>
      <c r="P22" s="10"/>
      <c r="Q22" s="10" t="s">
        <v>757</v>
      </c>
      <c r="R22" s="10"/>
      <c r="S22" s="10" t="s">
        <v>758</v>
      </c>
      <c r="T22" s="10" t="s">
        <v>126</v>
      </c>
      <c r="U22" s="10" t="s">
        <v>173</v>
      </c>
      <c r="V22" s="10" t="s">
        <v>772</v>
      </c>
      <c r="W22" s="10"/>
      <c r="X22" s="10"/>
      <c r="Y22" s="10"/>
      <c r="Z22" s="10" t="s">
        <v>773</v>
      </c>
      <c r="AA22" s="10" t="s">
        <v>777</v>
      </c>
      <c r="AB22" s="10" t="s">
        <v>334</v>
      </c>
      <c r="AC22" s="10" t="s">
        <v>775</v>
      </c>
      <c r="AD22" s="10"/>
    </row>
    <row r="23" customFormat="false" ht="15" hidden="false" customHeight="false" outlineLevel="0" collapsed="false">
      <c r="A23" s="10" t="n">
        <v>123</v>
      </c>
      <c r="B23" s="10" t="s">
        <v>335</v>
      </c>
      <c r="C23" s="10" t="s">
        <v>752</v>
      </c>
      <c r="D23" s="10" t="s">
        <v>336</v>
      </c>
      <c r="E23" s="10" t="s">
        <v>337</v>
      </c>
      <c r="F23" s="10" t="s">
        <v>172</v>
      </c>
      <c r="G23" s="10" t="s">
        <v>753</v>
      </c>
      <c r="H23" s="10" t="s">
        <v>127</v>
      </c>
      <c r="I23" s="10" t="s">
        <v>754</v>
      </c>
      <c r="J23" s="10" t="s">
        <v>127</v>
      </c>
      <c r="K23" s="10"/>
      <c r="L23" s="10" t="s">
        <v>338</v>
      </c>
      <c r="M23" s="10"/>
      <c r="N23" s="10" t="s">
        <v>755</v>
      </c>
      <c r="O23" s="10" t="s">
        <v>756</v>
      </c>
      <c r="P23" s="10"/>
      <c r="Q23" s="10" t="s">
        <v>757</v>
      </c>
      <c r="R23" s="10"/>
      <c r="S23" s="10" t="s">
        <v>778</v>
      </c>
      <c r="T23" s="10" t="s">
        <v>173</v>
      </c>
      <c r="U23" s="10" t="s">
        <v>126</v>
      </c>
      <c r="V23" s="10" t="s">
        <v>772</v>
      </c>
      <c r="W23" s="10"/>
      <c r="X23" s="10"/>
      <c r="Y23" s="10"/>
      <c r="Z23" s="10" t="s">
        <v>779</v>
      </c>
      <c r="AA23" s="10" t="s">
        <v>780</v>
      </c>
      <c r="AB23" s="10" t="s">
        <v>348</v>
      </c>
      <c r="AC23" s="10" t="s">
        <v>775</v>
      </c>
      <c r="AD23" s="10"/>
    </row>
    <row r="24" customFormat="false" ht="15" hidden="false" customHeight="false" outlineLevel="0" collapsed="false">
      <c r="A24" s="10" t="n">
        <v>125</v>
      </c>
      <c r="B24" s="10" t="s">
        <v>335</v>
      </c>
      <c r="C24" s="10" t="s">
        <v>752</v>
      </c>
      <c r="D24" s="10" t="s">
        <v>336</v>
      </c>
      <c r="E24" s="10" t="s">
        <v>349</v>
      </c>
      <c r="F24" s="10" t="s">
        <v>172</v>
      </c>
      <c r="G24" s="10" t="s">
        <v>753</v>
      </c>
      <c r="H24" s="10" t="s">
        <v>127</v>
      </c>
      <c r="I24" s="10" t="s">
        <v>754</v>
      </c>
      <c r="J24" s="10" t="s">
        <v>127</v>
      </c>
      <c r="K24" s="10"/>
      <c r="L24" s="10" t="s">
        <v>338</v>
      </c>
      <c r="M24" s="10"/>
      <c r="N24" s="10" t="s">
        <v>755</v>
      </c>
      <c r="O24" s="10" t="s">
        <v>756</v>
      </c>
      <c r="P24" s="10"/>
      <c r="Q24" s="10" t="s">
        <v>757</v>
      </c>
      <c r="R24" s="10"/>
      <c r="S24" s="10" t="s">
        <v>778</v>
      </c>
      <c r="T24" s="10" t="s">
        <v>173</v>
      </c>
      <c r="U24" s="10" t="s">
        <v>126</v>
      </c>
      <c r="V24" s="10" t="s">
        <v>772</v>
      </c>
      <c r="W24" s="10"/>
      <c r="X24" s="10"/>
      <c r="Y24" s="10"/>
      <c r="Z24" s="10" t="s">
        <v>779</v>
      </c>
      <c r="AA24" s="10" t="s">
        <v>780</v>
      </c>
      <c r="AB24" s="10" t="s">
        <v>356</v>
      </c>
      <c r="AC24" s="10" t="s">
        <v>775</v>
      </c>
      <c r="AD24" s="10"/>
    </row>
    <row r="25" customFormat="false" ht="15" hidden="false" customHeight="false" outlineLevel="0" collapsed="false">
      <c r="A25" s="10" t="n">
        <v>127</v>
      </c>
      <c r="B25" s="10" t="s">
        <v>335</v>
      </c>
      <c r="C25" s="10" t="s">
        <v>752</v>
      </c>
      <c r="D25" s="10" t="s">
        <v>336</v>
      </c>
      <c r="E25" s="10" t="s">
        <v>357</v>
      </c>
      <c r="F25" s="10" t="s">
        <v>172</v>
      </c>
      <c r="G25" s="10" t="s">
        <v>753</v>
      </c>
      <c r="H25" s="10" t="s">
        <v>127</v>
      </c>
      <c r="I25" s="10" t="s">
        <v>754</v>
      </c>
      <c r="J25" s="10" t="s">
        <v>127</v>
      </c>
      <c r="K25" s="10"/>
      <c r="L25" s="10" t="s">
        <v>338</v>
      </c>
      <c r="M25" s="10"/>
      <c r="N25" s="10" t="s">
        <v>755</v>
      </c>
      <c r="O25" s="10" t="s">
        <v>756</v>
      </c>
      <c r="P25" s="10"/>
      <c r="Q25" s="10" t="s">
        <v>757</v>
      </c>
      <c r="R25" s="10"/>
      <c r="S25" s="10" t="s">
        <v>778</v>
      </c>
      <c r="T25" s="10" t="s">
        <v>173</v>
      </c>
      <c r="U25" s="10" t="s">
        <v>126</v>
      </c>
      <c r="V25" s="10" t="s">
        <v>772</v>
      </c>
      <c r="W25" s="10"/>
      <c r="X25" s="10"/>
      <c r="Y25" s="10"/>
      <c r="Z25" s="10" t="s">
        <v>779</v>
      </c>
      <c r="AA25" s="10" t="s">
        <v>780</v>
      </c>
      <c r="AB25" s="10" t="s">
        <v>365</v>
      </c>
      <c r="AC25" s="10" t="s">
        <v>775</v>
      </c>
      <c r="AD25" s="10"/>
    </row>
    <row r="26" customFormat="false" ht="15" hidden="false" customHeight="false" outlineLevel="0" collapsed="false">
      <c r="A26" s="10" t="n">
        <v>128</v>
      </c>
      <c r="B26" s="10" t="s">
        <v>335</v>
      </c>
      <c r="C26" s="10" t="s">
        <v>752</v>
      </c>
      <c r="D26" s="10" t="s">
        <v>336</v>
      </c>
      <c r="E26" s="10" t="s">
        <v>366</v>
      </c>
      <c r="F26" s="10" t="s">
        <v>172</v>
      </c>
      <c r="G26" s="10" t="s">
        <v>753</v>
      </c>
      <c r="H26" s="10" t="s">
        <v>127</v>
      </c>
      <c r="I26" s="10" t="s">
        <v>754</v>
      </c>
      <c r="J26" s="10" t="s">
        <v>127</v>
      </c>
      <c r="K26" s="10"/>
      <c r="L26" s="10" t="s">
        <v>338</v>
      </c>
      <c r="M26" s="10"/>
      <c r="N26" s="10" t="s">
        <v>755</v>
      </c>
      <c r="O26" s="10" t="s">
        <v>756</v>
      </c>
      <c r="P26" s="10"/>
      <c r="Q26" s="10" t="s">
        <v>757</v>
      </c>
      <c r="R26" s="10"/>
      <c r="S26" s="10" t="s">
        <v>778</v>
      </c>
      <c r="T26" s="10" t="s">
        <v>173</v>
      </c>
      <c r="U26" s="10" t="s">
        <v>126</v>
      </c>
      <c r="V26" s="10" t="s">
        <v>772</v>
      </c>
      <c r="W26" s="10"/>
      <c r="X26" s="10"/>
      <c r="Y26" s="10"/>
      <c r="Z26" s="10" t="s">
        <v>779</v>
      </c>
      <c r="AA26" s="10" t="s">
        <v>780</v>
      </c>
      <c r="AB26" s="10" t="s">
        <v>373</v>
      </c>
      <c r="AC26" s="10" t="s">
        <v>775</v>
      </c>
      <c r="AD26" s="10"/>
    </row>
    <row r="27" customFormat="false" ht="15" hidden="false" customHeight="false" outlineLevel="0" collapsed="false">
      <c r="A27" s="10" t="n">
        <v>171</v>
      </c>
      <c r="B27" s="10" t="s">
        <v>374</v>
      </c>
      <c r="C27" s="10" t="s">
        <v>752</v>
      </c>
      <c r="D27" s="10" t="s">
        <v>375</v>
      </c>
      <c r="E27" s="10" t="s">
        <v>376</v>
      </c>
      <c r="F27" s="10" t="s">
        <v>172</v>
      </c>
      <c r="G27" s="10" t="s">
        <v>753</v>
      </c>
      <c r="H27" s="10" t="s">
        <v>127</v>
      </c>
      <c r="I27" s="10" t="s">
        <v>754</v>
      </c>
      <c r="J27" s="10" t="s">
        <v>127</v>
      </c>
      <c r="K27" s="10"/>
      <c r="L27" s="10" t="s">
        <v>377</v>
      </c>
      <c r="M27" s="10"/>
      <c r="N27" s="10" t="s">
        <v>755</v>
      </c>
      <c r="O27" s="10" t="s">
        <v>756</v>
      </c>
      <c r="P27" s="10"/>
      <c r="Q27" s="10" t="s">
        <v>757</v>
      </c>
      <c r="R27" s="10"/>
      <c r="S27" s="10" t="s">
        <v>758</v>
      </c>
      <c r="T27" s="10" t="s">
        <v>173</v>
      </c>
      <c r="U27" s="10" t="s">
        <v>173</v>
      </c>
      <c r="V27" s="10" t="s">
        <v>772</v>
      </c>
      <c r="W27" s="10"/>
      <c r="X27" s="10"/>
      <c r="Y27" s="10"/>
      <c r="Z27" s="10" t="s">
        <v>781</v>
      </c>
      <c r="AA27" s="10" t="s">
        <v>782</v>
      </c>
      <c r="AB27" s="10" t="s">
        <v>385</v>
      </c>
      <c r="AC27" s="10" t="s">
        <v>775</v>
      </c>
      <c r="AD27" s="10"/>
    </row>
    <row r="28" customFormat="false" ht="15" hidden="false" customHeight="false" outlineLevel="0" collapsed="false">
      <c r="A28" s="10" t="n">
        <v>172</v>
      </c>
      <c r="B28" s="10" t="s">
        <v>374</v>
      </c>
      <c r="C28" s="10" t="s">
        <v>752</v>
      </c>
      <c r="D28" s="10" t="s">
        <v>375</v>
      </c>
      <c r="E28" s="10" t="s">
        <v>386</v>
      </c>
      <c r="F28" s="10" t="s">
        <v>172</v>
      </c>
      <c r="G28" s="10" t="s">
        <v>753</v>
      </c>
      <c r="H28" s="10" t="s">
        <v>127</v>
      </c>
      <c r="I28" s="10" t="s">
        <v>754</v>
      </c>
      <c r="J28" s="10" t="s">
        <v>127</v>
      </c>
      <c r="K28" s="10"/>
      <c r="L28" s="10" t="s">
        <v>377</v>
      </c>
      <c r="M28" s="10"/>
      <c r="N28" s="10" t="s">
        <v>755</v>
      </c>
      <c r="O28" s="10" t="s">
        <v>756</v>
      </c>
      <c r="P28" s="10"/>
      <c r="Q28" s="10" t="s">
        <v>757</v>
      </c>
      <c r="R28" s="10"/>
      <c r="S28" s="10" t="s">
        <v>758</v>
      </c>
      <c r="T28" s="10" t="s">
        <v>173</v>
      </c>
      <c r="U28" s="10" t="s">
        <v>173</v>
      </c>
      <c r="V28" s="10" t="s">
        <v>772</v>
      </c>
      <c r="W28" s="10"/>
      <c r="X28" s="10"/>
      <c r="Y28" s="10"/>
      <c r="Z28" s="10" t="s">
        <v>781</v>
      </c>
      <c r="AA28" s="10" t="s">
        <v>782</v>
      </c>
      <c r="AB28" s="10" t="s">
        <v>394</v>
      </c>
      <c r="AC28" s="10" t="s">
        <v>775</v>
      </c>
      <c r="AD28" s="10"/>
    </row>
    <row r="29" customFormat="false" ht="15" hidden="false" customHeight="false" outlineLevel="0" collapsed="false">
      <c r="A29" s="10" t="n">
        <v>176</v>
      </c>
      <c r="B29" s="10" t="s">
        <v>374</v>
      </c>
      <c r="C29" s="10" t="s">
        <v>752</v>
      </c>
      <c r="D29" s="10" t="s">
        <v>375</v>
      </c>
      <c r="E29" s="10" t="s">
        <v>395</v>
      </c>
      <c r="F29" s="10" t="s">
        <v>172</v>
      </c>
      <c r="G29" s="10" t="s">
        <v>753</v>
      </c>
      <c r="H29" s="10" t="s">
        <v>127</v>
      </c>
      <c r="I29" s="10" t="s">
        <v>754</v>
      </c>
      <c r="J29" s="10" t="s">
        <v>127</v>
      </c>
      <c r="K29" s="10"/>
      <c r="L29" s="10" t="s">
        <v>377</v>
      </c>
      <c r="M29" s="10"/>
      <c r="N29" s="10" t="s">
        <v>755</v>
      </c>
      <c r="O29" s="10" t="s">
        <v>756</v>
      </c>
      <c r="P29" s="10"/>
      <c r="Q29" s="10" t="s">
        <v>757</v>
      </c>
      <c r="R29" s="10"/>
      <c r="S29" s="10" t="s">
        <v>758</v>
      </c>
      <c r="T29" s="10" t="s">
        <v>173</v>
      </c>
      <c r="U29" s="10" t="s">
        <v>173</v>
      </c>
      <c r="V29" s="10" t="s">
        <v>772</v>
      </c>
      <c r="W29" s="10"/>
      <c r="X29" s="10"/>
      <c r="Y29" s="10"/>
      <c r="Z29" s="10" t="s">
        <v>781</v>
      </c>
      <c r="AA29" s="10" t="s">
        <v>782</v>
      </c>
      <c r="AB29" s="10" t="s">
        <v>404</v>
      </c>
      <c r="AC29" s="10" t="s">
        <v>775</v>
      </c>
      <c r="AD29" s="10"/>
    </row>
    <row r="30" customFormat="false" ht="15" hidden="false" customHeight="false" outlineLevel="0" collapsed="false">
      <c r="A30" s="10" t="n">
        <v>186</v>
      </c>
      <c r="B30" s="10" t="s">
        <v>405</v>
      </c>
      <c r="C30" s="10"/>
      <c r="D30" s="10" t="s">
        <v>406</v>
      </c>
      <c r="E30" s="10" t="s">
        <v>407</v>
      </c>
      <c r="F30" s="10" t="s">
        <v>172</v>
      </c>
      <c r="G30" s="10" t="s">
        <v>753</v>
      </c>
      <c r="H30" s="10" t="s">
        <v>127</v>
      </c>
      <c r="I30" s="10" t="s">
        <v>754</v>
      </c>
      <c r="J30" s="10" t="s">
        <v>127</v>
      </c>
      <c r="K30" s="10"/>
      <c r="L30" s="10" t="s">
        <v>408</v>
      </c>
      <c r="M30" s="10"/>
      <c r="N30" s="10" t="s">
        <v>755</v>
      </c>
      <c r="O30" s="10" t="s">
        <v>756</v>
      </c>
      <c r="P30" s="10"/>
      <c r="Q30" s="10" t="s">
        <v>757</v>
      </c>
      <c r="R30" s="10"/>
      <c r="S30" s="10" t="s">
        <v>758</v>
      </c>
      <c r="T30" s="10" t="s">
        <v>126</v>
      </c>
      <c r="U30" s="10" t="s">
        <v>126</v>
      </c>
      <c r="V30" s="10" t="s">
        <v>772</v>
      </c>
      <c r="W30" s="10"/>
      <c r="X30" s="10"/>
      <c r="Y30" s="10"/>
      <c r="Z30" s="10" t="s">
        <v>783</v>
      </c>
      <c r="AA30" s="10" t="s">
        <v>784</v>
      </c>
      <c r="AB30" s="10" t="s">
        <v>416</v>
      </c>
      <c r="AC30" s="10" t="s">
        <v>775</v>
      </c>
      <c r="AD30" s="10"/>
    </row>
    <row r="31" customFormat="false" ht="15" hidden="false" customHeight="false" outlineLevel="0" collapsed="false">
      <c r="A31" s="10" t="n">
        <v>199</v>
      </c>
      <c r="B31" s="10" t="s">
        <v>417</v>
      </c>
      <c r="C31" s="10" t="s">
        <v>752</v>
      </c>
      <c r="D31" s="10" t="s">
        <v>418</v>
      </c>
      <c r="E31" s="10" t="s">
        <v>419</v>
      </c>
      <c r="F31" s="10" t="s">
        <v>125</v>
      </c>
      <c r="G31" s="10" t="s">
        <v>753</v>
      </c>
      <c r="H31" s="10" t="s">
        <v>127</v>
      </c>
      <c r="I31" s="10" t="s">
        <v>754</v>
      </c>
      <c r="J31" s="10" t="s">
        <v>127</v>
      </c>
      <c r="K31" s="10"/>
      <c r="L31" s="10" t="s">
        <v>420</v>
      </c>
      <c r="M31" s="10"/>
      <c r="N31" s="10" t="s">
        <v>767</v>
      </c>
      <c r="O31" s="10" t="s">
        <v>756</v>
      </c>
      <c r="P31" s="10"/>
      <c r="Q31" s="10" t="s">
        <v>757</v>
      </c>
      <c r="R31" s="10"/>
      <c r="S31" s="10" t="s">
        <v>758</v>
      </c>
      <c r="T31" s="10" t="s">
        <v>126</v>
      </c>
      <c r="U31" s="10" t="s">
        <v>126</v>
      </c>
      <c r="V31" s="10" t="s">
        <v>754</v>
      </c>
      <c r="W31" s="10" t="s">
        <v>756</v>
      </c>
      <c r="X31" s="10"/>
      <c r="Y31" s="10" t="s">
        <v>759</v>
      </c>
      <c r="Z31" s="10" t="s">
        <v>785</v>
      </c>
      <c r="AA31" s="10" t="s">
        <v>786</v>
      </c>
      <c r="AB31" s="10" t="s">
        <v>430</v>
      </c>
      <c r="AC31" s="10" t="s">
        <v>762</v>
      </c>
      <c r="AD31" s="10"/>
    </row>
    <row r="32" customFormat="false" ht="15" hidden="false" customHeight="false" outlineLevel="0" collapsed="false">
      <c r="A32" s="10" t="n">
        <v>206</v>
      </c>
      <c r="B32" s="10" t="s">
        <v>417</v>
      </c>
      <c r="C32" s="10" t="s">
        <v>752</v>
      </c>
      <c r="D32" s="10" t="s">
        <v>431</v>
      </c>
      <c r="E32" s="10" t="s">
        <v>432</v>
      </c>
      <c r="F32" s="10" t="s">
        <v>172</v>
      </c>
      <c r="G32" s="10" t="s">
        <v>753</v>
      </c>
      <c r="H32" s="10" t="s">
        <v>127</v>
      </c>
      <c r="I32" s="10" t="s">
        <v>754</v>
      </c>
      <c r="J32" s="10" t="s">
        <v>127</v>
      </c>
      <c r="K32" s="10"/>
      <c r="L32" s="10" t="s">
        <v>420</v>
      </c>
      <c r="M32" s="10"/>
      <c r="N32" s="10" t="s">
        <v>755</v>
      </c>
      <c r="O32" s="10" t="s">
        <v>756</v>
      </c>
      <c r="P32" s="10"/>
      <c r="Q32" s="10" t="s">
        <v>757</v>
      </c>
      <c r="R32" s="10"/>
      <c r="S32" s="10" t="s">
        <v>758</v>
      </c>
      <c r="T32" s="10" t="s">
        <v>173</v>
      </c>
      <c r="U32" s="10" t="s">
        <v>126</v>
      </c>
      <c r="V32" s="10" t="s">
        <v>754</v>
      </c>
      <c r="W32" s="10" t="s">
        <v>756</v>
      </c>
      <c r="X32" s="10"/>
      <c r="Y32" s="10" t="s">
        <v>759</v>
      </c>
      <c r="Z32" s="10" t="s">
        <v>785</v>
      </c>
      <c r="AA32" s="10" t="s">
        <v>787</v>
      </c>
      <c r="AB32" s="10" t="s">
        <v>442</v>
      </c>
      <c r="AC32" s="10" t="s">
        <v>762</v>
      </c>
      <c r="AD32" s="10"/>
    </row>
    <row r="33" customFormat="false" ht="15" hidden="false" customHeight="false" outlineLevel="0" collapsed="false">
      <c r="A33" s="10" t="n">
        <v>207</v>
      </c>
      <c r="B33" s="10" t="s">
        <v>417</v>
      </c>
      <c r="C33" s="10" t="s">
        <v>752</v>
      </c>
      <c r="D33" s="10" t="s">
        <v>443</v>
      </c>
      <c r="E33" s="10" t="s">
        <v>444</v>
      </c>
      <c r="F33" s="10" t="s">
        <v>125</v>
      </c>
      <c r="G33" s="10" t="s">
        <v>753</v>
      </c>
      <c r="H33" s="10" t="s">
        <v>127</v>
      </c>
      <c r="I33" s="10" t="s">
        <v>754</v>
      </c>
      <c r="J33" s="10" t="s">
        <v>127</v>
      </c>
      <c r="K33" s="10"/>
      <c r="L33" s="10" t="s">
        <v>420</v>
      </c>
      <c r="M33" s="10"/>
      <c r="N33" s="10" t="s">
        <v>767</v>
      </c>
      <c r="O33" s="10" t="s">
        <v>756</v>
      </c>
      <c r="P33" s="10"/>
      <c r="Q33" s="10" t="s">
        <v>757</v>
      </c>
      <c r="R33" s="10"/>
      <c r="S33" s="10" t="s">
        <v>758</v>
      </c>
      <c r="T33" s="10" t="s">
        <v>126</v>
      </c>
      <c r="U33" s="10" t="s">
        <v>126</v>
      </c>
      <c r="V33" s="10" t="s">
        <v>754</v>
      </c>
      <c r="W33" s="10" t="s">
        <v>756</v>
      </c>
      <c r="X33" s="10"/>
      <c r="Y33" s="10" t="s">
        <v>759</v>
      </c>
      <c r="Z33" s="10" t="s">
        <v>785</v>
      </c>
      <c r="AA33" s="10" t="s">
        <v>788</v>
      </c>
      <c r="AB33" s="10" t="s">
        <v>454</v>
      </c>
      <c r="AC33" s="10" t="s">
        <v>762</v>
      </c>
      <c r="AD33" s="10"/>
    </row>
    <row r="34" customFormat="false" ht="15" hidden="false" customHeight="false" outlineLevel="0" collapsed="false">
      <c r="A34" s="10" t="n">
        <v>216</v>
      </c>
      <c r="B34" s="10" t="s">
        <v>417</v>
      </c>
      <c r="C34" s="10" t="s">
        <v>752</v>
      </c>
      <c r="D34" s="10" t="s">
        <v>443</v>
      </c>
      <c r="E34" s="10" t="s">
        <v>455</v>
      </c>
      <c r="F34" s="10" t="s">
        <v>172</v>
      </c>
      <c r="G34" s="10" t="s">
        <v>753</v>
      </c>
      <c r="H34" s="10" t="s">
        <v>127</v>
      </c>
      <c r="I34" s="10" t="s">
        <v>754</v>
      </c>
      <c r="J34" s="10" t="s">
        <v>127</v>
      </c>
      <c r="K34" s="10"/>
      <c r="L34" s="10" t="s">
        <v>420</v>
      </c>
      <c r="M34" s="10"/>
      <c r="N34" s="10" t="s">
        <v>755</v>
      </c>
      <c r="O34" s="10" t="s">
        <v>756</v>
      </c>
      <c r="P34" s="10"/>
      <c r="Q34" s="10" t="s">
        <v>757</v>
      </c>
      <c r="R34" s="10"/>
      <c r="S34" s="10" t="s">
        <v>758</v>
      </c>
      <c r="T34" s="10" t="s">
        <v>173</v>
      </c>
      <c r="U34" s="10" t="s">
        <v>126</v>
      </c>
      <c r="V34" s="10" t="s">
        <v>754</v>
      </c>
      <c r="W34" s="10" t="s">
        <v>756</v>
      </c>
      <c r="X34" s="10"/>
      <c r="Y34" s="10" t="s">
        <v>759</v>
      </c>
      <c r="Z34" s="10" t="s">
        <v>785</v>
      </c>
      <c r="AA34" s="10" t="s">
        <v>788</v>
      </c>
      <c r="AB34" s="10" t="s">
        <v>463</v>
      </c>
      <c r="AC34" s="10" t="s">
        <v>762</v>
      </c>
      <c r="AD34" s="10"/>
    </row>
    <row r="35" customFormat="false" ht="15" hidden="false" customHeight="false" outlineLevel="0" collapsed="false">
      <c r="A35" s="10" t="n">
        <v>219</v>
      </c>
      <c r="B35" s="10" t="s">
        <v>417</v>
      </c>
      <c r="C35" s="10" t="s">
        <v>752</v>
      </c>
      <c r="D35" s="10" t="s">
        <v>464</v>
      </c>
      <c r="E35" s="10" t="s">
        <v>465</v>
      </c>
      <c r="F35" s="10" t="s">
        <v>125</v>
      </c>
      <c r="G35" s="10" t="s">
        <v>753</v>
      </c>
      <c r="H35" s="10" t="s">
        <v>127</v>
      </c>
      <c r="I35" s="10" t="s">
        <v>754</v>
      </c>
      <c r="J35" s="10" t="s">
        <v>127</v>
      </c>
      <c r="K35" s="10"/>
      <c r="L35" s="10" t="s">
        <v>420</v>
      </c>
      <c r="M35" s="10"/>
      <c r="N35" s="10" t="s">
        <v>755</v>
      </c>
      <c r="O35" s="10" t="s">
        <v>756</v>
      </c>
      <c r="P35" s="10"/>
      <c r="Q35" s="10" t="s">
        <v>757</v>
      </c>
      <c r="R35" s="10"/>
      <c r="S35" s="10" t="s">
        <v>758</v>
      </c>
      <c r="T35" s="10" t="s">
        <v>173</v>
      </c>
      <c r="U35" s="10" t="s">
        <v>126</v>
      </c>
      <c r="V35" s="10" t="s">
        <v>754</v>
      </c>
      <c r="W35" s="10" t="s">
        <v>756</v>
      </c>
      <c r="X35" s="10"/>
      <c r="Y35" s="10" t="s">
        <v>759</v>
      </c>
      <c r="Z35" s="10" t="s">
        <v>785</v>
      </c>
      <c r="AA35" s="10" t="s">
        <v>789</v>
      </c>
      <c r="AB35" s="10" t="s">
        <v>472</v>
      </c>
      <c r="AC35" s="10" t="s">
        <v>762</v>
      </c>
      <c r="AD35" s="10"/>
    </row>
    <row r="36" customFormat="false" ht="15" hidden="false" customHeight="false" outlineLevel="0" collapsed="false">
      <c r="A36" s="10" t="n">
        <v>222</v>
      </c>
      <c r="B36" s="10" t="s">
        <v>417</v>
      </c>
      <c r="C36" s="10" t="s">
        <v>752</v>
      </c>
      <c r="D36" s="10" t="s">
        <v>464</v>
      </c>
      <c r="E36" s="10" t="s">
        <v>419</v>
      </c>
      <c r="F36" s="10" t="s">
        <v>125</v>
      </c>
      <c r="G36" s="10" t="s">
        <v>753</v>
      </c>
      <c r="H36" s="10" t="s">
        <v>127</v>
      </c>
      <c r="I36" s="10" t="s">
        <v>754</v>
      </c>
      <c r="J36" s="10" t="s">
        <v>127</v>
      </c>
      <c r="K36" s="10"/>
      <c r="L36" s="10" t="s">
        <v>420</v>
      </c>
      <c r="M36" s="10"/>
      <c r="N36" s="10" t="s">
        <v>767</v>
      </c>
      <c r="O36" s="10" t="s">
        <v>756</v>
      </c>
      <c r="P36" s="10"/>
      <c r="Q36" s="10" t="s">
        <v>757</v>
      </c>
      <c r="R36" s="10"/>
      <c r="S36" s="10" t="s">
        <v>758</v>
      </c>
      <c r="T36" s="10" t="s">
        <v>126</v>
      </c>
      <c r="U36" s="10" t="s">
        <v>126</v>
      </c>
      <c r="V36" s="10" t="s">
        <v>754</v>
      </c>
      <c r="W36" s="10" t="s">
        <v>756</v>
      </c>
      <c r="X36" s="10"/>
      <c r="Y36" s="10" t="s">
        <v>759</v>
      </c>
      <c r="Z36" s="10" t="s">
        <v>785</v>
      </c>
      <c r="AA36" s="10" t="s">
        <v>789</v>
      </c>
      <c r="AB36" s="10" t="s">
        <v>430</v>
      </c>
      <c r="AC36" s="10" t="s">
        <v>762</v>
      </c>
      <c r="AD36" s="10"/>
    </row>
    <row r="37" customFormat="false" ht="15" hidden="false" customHeight="false" outlineLevel="0" collapsed="false">
      <c r="A37" s="10" t="n">
        <v>272</v>
      </c>
      <c r="B37" s="10" t="s">
        <v>475</v>
      </c>
      <c r="C37" s="10" t="s">
        <v>752</v>
      </c>
      <c r="D37" s="10" t="s">
        <v>476</v>
      </c>
      <c r="E37" s="10" t="s">
        <v>477</v>
      </c>
      <c r="F37" s="10" t="s">
        <v>172</v>
      </c>
      <c r="G37" s="10" t="s">
        <v>753</v>
      </c>
      <c r="H37" s="10" t="s">
        <v>127</v>
      </c>
      <c r="I37" s="10" t="s">
        <v>754</v>
      </c>
      <c r="J37" s="10" t="s">
        <v>127</v>
      </c>
      <c r="K37" s="10"/>
      <c r="L37" s="10" t="s">
        <v>338</v>
      </c>
      <c r="M37" s="10"/>
      <c r="N37" s="10" t="s">
        <v>755</v>
      </c>
      <c r="O37" s="10" t="s">
        <v>756</v>
      </c>
      <c r="P37" s="10"/>
      <c r="Q37" s="10" t="s">
        <v>757</v>
      </c>
      <c r="R37" s="10"/>
      <c r="S37" s="10" t="s">
        <v>758</v>
      </c>
      <c r="T37" s="10" t="s">
        <v>173</v>
      </c>
      <c r="U37" s="10" t="s">
        <v>126</v>
      </c>
      <c r="V37" s="10" t="s">
        <v>772</v>
      </c>
      <c r="W37" s="10"/>
      <c r="X37" s="10"/>
      <c r="Y37" s="10"/>
      <c r="Z37" s="10" t="s">
        <v>790</v>
      </c>
      <c r="AA37" s="10" t="s">
        <v>791</v>
      </c>
      <c r="AB37" s="10" t="s">
        <v>484</v>
      </c>
      <c r="AC37" s="10" t="s">
        <v>775</v>
      </c>
      <c r="AD37" s="10"/>
    </row>
    <row r="38" customFormat="false" ht="15" hidden="false" customHeight="false" outlineLevel="0" collapsed="false">
      <c r="A38" s="10" t="n">
        <v>274</v>
      </c>
      <c r="B38" s="10" t="s">
        <v>475</v>
      </c>
      <c r="C38" s="10" t="s">
        <v>752</v>
      </c>
      <c r="D38" s="10" t="s">
        <v>476</v>
      </c>
      <c r="E38" s="10" t="s">
        <v>485</v>
      </c>
      <c r="F38" s="10" t="s">
        <v>172</v>
      </c>
      <c r="G38" s="10" t="s">
        <v>753</v>
      </c>
      <c r="H38" s="10" t="s">
        <v>127</v>
      </c>
      <c r="I38" s="10" t="s">
        <v>754</v>
      </c>
      <c r="J38" s="10" t="s">
        <v>127</v>
      </c>
      <c r="K38" s="10"/>
      <c r="L38" s="10" t="s">
        <v>338</v>
      </c>
      <c r="M38" s="10"/>
      <c r="N38" s="10" t="s">
        <v>755</v>
      </c>
      <c r="O38" s="10" t="s">
        <v>756</v>
      </c>
      <c r="P38" s="10"/>
      <c r="Q38" s="10" t="s">
        <v>757</v>
      </c>
      <c r="R38" s="10"/>
      <c r="S38" s="10" t="s">
        <v>758</v>
      </c>
      <c r="T38" s="10" t="s">
        <v>173</v>
      </c>
      <c r="U38" s="10" t="s">
        <v>126</v>
      </c>
      <c r="V38" s="10" t="s">
        <v>772</v>
      </c>
      <c r="W38" s="10"/>
      <c r="X38" s="10"/>
      <c r="Y38" s="10"/>
      <c r="Z38" s="10" t="s">
        <v>790</v>
      </c>
      <c r="AA38" s="10" t="s">
        <v>791</v>
      </c>
      <c r="AB38" s="10" t="s">
        <v>492</v>
      </c>
      <c r="AC38" s="10" t="s">
        <v>775</v>
      </c>
      <c r="AD38" s="10"/>
    </row>
    <row r="39" customFormat="false" ht="15" hidden="false" customHeight="false" outlineLevel="0" collapsed="false">
      <c r="A39" s="10" t="n">
        <v>286</v>
      </c>
      <c r="B39" s="10" t="s">
        <v>475</v>
      </c>
      <c r="C39" s="10" t="s">
        <v>752</v>
      </c>
      <c r="D39" s="10" t="s">
        <v>476</v>
      </c>
      <c r="E39" s="10" t="s">
        <v>493</v>
      </c>
      <c r="F39" s="10" t="s">
        <v>172</v>
      </c>
      <c r="G39" s="10" t="s">
        <v>753</v>
      </c>
      <c r="H39" s="10" t="s">
        <v>127</v>
      </c>
      <c r="I39" s="10" t="s">
        <v>754</v>
      </c>
      <c r="J39" s="10" t="s">
        <v>127</v>
      </c>
      <c r="K39" s="10"/>
      <c r="L39" s="10" t="s">
        <v>338</v>
      </c>
      <c r="M39" s="10"/>
      <c r="N39" s="10" t="s">
        <v>755</v>
      </c>
      <c r="O39" s="10" t="s">
        <v>756</v>
      </c>
      <c r="P39" s="10"/>
      <c r="Q39" s="10" t="s">
        <v>757</v>
      </c>
      <c r="R39" s="10"/>
      <c r="S39" s="10" t="s">
        <v>758</v>
      </c>
      <c r="T39" s="10" t="s">
        <v>173</v>
      </c>
      <c r="U39" s="10" t="s">
        <v>126</v>
      </c>
      <c r="V39" s="10" t="s">
        <v>772</v>
      </c>
      <c r="W39" s="10"/>
      <c r="X39" s="10"/>
      <c r="Y39" s="10"/>
      <c r="Z39" s="10" t="s">
        <v>790</v>
      </c>
      <c r="AA39" s="10" t="s">
        <v>791</v>
      </c>
      <c r="AB39" s="10" t="s">
        <v>500</v>
      </c>
      <c r="AC39" s="10" t="s">
        <v>775</v>
      </c>
      <c r="AD39" s="10"/>
    </row>
    <row r="40" customFormat="false" ht="15" hidden="false" customHeight="false" outlineLevel="0" collapsed="false">
      <c r="A40" s="10" t="n">
        <v>294</v>
      </c>
      <c r="B40" s="10" t="s">
        <v>501</v>
      </c>
      <c r="C40" s="10" t="s">
        <v>752</v>
      </c>
      <c r="D40" s="10" t="s">
        <v>502</v>
      </c>
      <c r="E40" s="10" t="s">
        <v>503</v>
      </c>
      <c r="F40" s="10" t="s">
        <v>125</v>
      </c>
      <c r="G40" s="10" t="s">
        <v>753</v>
      </c>
      <c r="H40" s="10" t="s">
        <v>127</v>
      </c>
      <c r="I40" s="10" t="s">
        <v>754</v>
      </c>
      <c r="J40" s="10" t="s">
        <v>127</v>
      </c>
      <c r="K40" s="10"/>
      <c r="L40" s="10" t="s">
        <v>338</v>
      </c>
      <c r="M40" s="10"/>
      <c r="N40" s="10" t="s">
        <v>755</v>
      </c>
      <c r="O40" s="10" t="s">
        <v>756</v>
      </c>
      <c r="P40" s="10"/>
      <c r="Q40" s="10" t="s">
        <v>757</v>
      </c>
      <c r="R40" s="10"/>
      <c r="S40" s="10" t="s">
        <v>758</v>
      </c>
      <c r="T40" s="10" t="s">
        <v>126</v>
      </c>
      <c r="U40" s="10" t="s">
        <v>173</v>
      </c>
      <c r="V40" s="10" t="s">
        <v>772</v>
      </c>
      <c r="W40" s="10"/>
      <c r="X40" s="10"/>
      <c r="Y40" s="10"/>
      <c r="Z40" s="10" t="s">
        <v>792</v>
      </c>
      <c r="AA40" s="10" t="s">
        <v>793</v>
      </c>
      <c r="AB40" s="10" t="s">
        <v>510</v>
      </c>
      <c r="AC40" s="10" t="s">
        <v>775</v>
      </c>
      <c r="AD40" s="10"/>
    </row>
    <row r="41" customFormat="false" ht="15" hidden="false" customHeight="false" outlineLevel="0" collapsed="false">
      <c r="A41" s="10" t="n">
        <v>296</v>
      </c>
      <c r="B41" s="10" t="s">
        <v>501</v>
      </c>
      <c r="C41" s="10" t="s">
        <v>752</v>
      </c>
      <c r="D41" s="10" t="s">
        <v>502</v>
      </c>
      <c r="E41" s="10" t="s">
        <v>511</v>
      </c>
      <c r="F41" s="10" t="s">
        <v>125</v>
      </c>
      <c r="G41" s="10" t="s">
        <v>753</v>
      </c>
      <c r="H41" s="10" t="s">
        <v>127</v>
      </c>
      <c r="I41" s="10" t="s">
        <v>754</v>
      </c>
      <c r="J41" s="10" t="s">
        <v>127</v>
      </c>
      <c r="K41" s="10"/>
      <c r="L41" s="10" t="s">
        <v>338</v>
      </c>
      <c r="M41" s="10"/>
      <c r="N41" s="10" t="s">
        <v>755</v>
      </c>
      <c r="O41" s="10" t="s">
        <v>756</v>
      </c>
      <c r="P41" s="10"/>
      <c r="Q41" s="10" t="s">
        <v>757</v>
      </c>
      <c r="R41" s="10"/>
      <c r="S41" s="10" t="s">
        <v>758</v>
      </c>
      <c r="T41" s="10" t="s">
        <v>126</v>
      </c>
      <c r="U41" s="10" t="s">
        <v>173</v>
      </c>
      <c r="V41" s="10" t="s">
        <v>772</v>
      </c>
      <c r="W41" s="10"/>
      <c r="X41" s="10"/>
      <c r="Y41" s="10"/>
      <c r="Z41" s="10" t="s">
        <v>792</v>
      </c>
      <c r="AA41" s="10" t="s">
        <v>793</v>
      </c>
      <c r="AB41" s="10" t="s">
        <v>516</v>
      </c>
      <c r="AC41" s="10" t="s">
        <v>775</v>
      </c>
      <c r="AD41" s="10"/>
    </row>
    <row r="42" customFormat="false" ht="15" hidden="false" customHeight="false" outlineLevel="0" collapsed="false">
      <c r="A42" s="10" t="n">
        <v>317</v>
      </c>
      <c r="B42" s="10" t="s">
        <v>517</v>
      </c>
      <c r="C42" s="10" t="s">
        <v>752</v>
      </c>
      <c r="D42" s="10" t="s">
        <v>518</v>
      </c>
      <c r="E42" s="10" t="s">
        <v>519</v>
      </c>
      <c r="F42" s="10" t="s">
        <v>172</v>
      </c>
      <c r="G42" s="10" t="s">
        <v>753</v>
      </c>
      <c r="H42" s="10" t="s">
        <v>127</v>
      </c>
      <c r="I42" s="10" t="s">
        <v>754</v>
      </c>
      <c r="J42" s="10" t="s">
        <v>127</v>
      </c>
      <c r="K42" s="10"/>
      <c r="L42" s="10" t="s">
        <v>124</v>
      </c>
      <c r="M42" s="10"/>
      <c r="N42" s="10" t="s">
        <v>767</v>
      </c>
      <c r="O42" s="10" t="s">
        <v>756</v>
      </c>
      <c r="P42" s="10"/>
      <c r="Q42" s="10" t="s">
        <v>757</v>
      </c>
      <c r="R42" s="10"/>
      <c r="S42" s="10" t="s">
        <v>758</v>
      </c>
      <c r="T42" s="10" t="s">
        <v>126</v>
      </c>
      <c r="U42" s="10" t="s">
        <v>126</v>
      </c>
      <c r="V42" s="10" t="s">
        <v>754</v>
      </c>
      <c r="W42" s="10" t="s">
        <v>756</v>
      </c>
      <c r="X42" s="10"/>
      <c r="Y42" s="10" t="s">
        <v>759</v>
      </c>
      <c r="Z42" s="10" t="s">
        <v>794</v>
      </c>
      <c r="AA42" s="10" t="s">
        <v>795</v>
      </c>
      <c r="AB42" s="10" t="s">
        <v>527</v>
      </c>
      <c r="AC42" s="10" t="s">
        <v>762</v>
      </c>
      <c r="AD42" s="10"/>
    </row>
    <row r="43" customFormat="false" ht="15" hidden="false" customHeight="false" outlineLevel="0" collapsed="false">
      <c r="A43" s="10" t="n">
        <v>318</v>
      </c>
      <c r="B43" s="10" t="s">
        <v>517</v>
      </c>
      <c r="C43" s="10" t="s">
        <v>752</v>
      </c>
      <c r="D43" s="10" t="s">
        <v>528</v>
      </c>
      <c r="E43" s="10" t="s">
        <v>529</v>
      </c>
      <c r="F43" s="10" t="s">
        <v>125</v>
      </c>
      <c r="G43" s="10" t="s">
        <v>753</v>
      </c>
      <c r="H43" s="10" t="s">
        <v>127</v>
      </c>
      <c r="I43" s="10" t="s">
        <v>754</v>
      </c>
      <c r="J43" s="10" t="s">
        <v>127</v>
      </c>
      <c r="K43" s="10"/>
      <c r="L43" s="10" t="s">
        <v>124</v>
      </c>
      <c r="M43" s="10"/>
      <c r="N43" s="10" t="s">
        <v>755</v>
      </c>
      <c r="O43" s="10" t="s">
        <v>756</v>
      </c>
      <c r="P43" s="10"/>
      <c r="Q43" s="10" t="s">
        <v>757</v>
      </c>
      <c r="R43" s="10"/>
      <c r="S43" s="10" t="s">
        <v>758</v>
      </c>
      <c r="T43" s="10" t="s">
        <v>173</v>
      </c>
      <c r="U43" s="10" t="s">
        <v>173</v>
      </c>
      <c r="V43" s="10" t="s">
        <v>754</v>
      </c>
      <c r="W43" s="10" t="s">
        <v>756</v>
      </c>
      <c r="X43" s="10"/>
      <c r="Y43" s="10" t="s">
        <v>759</v>
      </c>
      <c r="Z43" s="10" t="s">
        <v>794</v>
      </c>
      <c r="AA43" s="10" t="s">
        <v>796</v>
      </c>
      <c r="AB43" s="10" t="s">
        <v>536</v>
      </c>
      <c r="AC43" s="10" t="s">
        <v>762</v>
      </c>
      <c r="AD43" s="10"/>
    </row>
    <row r="44" customFormat="false" ht="15" hidden="false" customHeight="false" outlineLevel="0" collapsed="false">
      <c r="A44" s="10" t="n">
        <v>319</v>
      </c>
      <c r="B44" s="10" t="s">
        <v>517</v>
      </c>
      <c r="C44" s="10" t="s">
        <v>752</v>
      </c>
      <c r="D44" s="10" t="s">
        <v>528</v>
      </c>
      <c r="E44" s="10" t="s">
        <v>123</v>
      </c>
      <c r="F44" s="10" t="s">
        <v>125</v>
      </c>
      <c r="G44" s="10" t="s">
        <v>753</v>
      </c>
      <c r="H44" s="10" t="s">
        <v>127</v>
      </c>
      <c r="I44" s="10" t="s">
        <v>754</v>
      </c>
      <c r="J44" s="10" t="s">
        <v>127</v>
      </c>
      <c r="K44" s="10"/>
      <c r="L44" s="10" t="s">
        <v>124</v>
      </c>
      <c r="M44" s="10"/>
      <c r="N44" s="10" t="s">
        <v>755</v>
      </c>
      <c r="O44" s="10" t="s">
        <v>756</v>
      </c>
      <c r="P44" s="10"/>
      <c r="Q44" s="10" t="s">
        <v>757</v>
      </c>
      <c r="R44" s="10"/>
      <c r="S44" s="10" t="s">
        <v>758</v>
      </c>
      <c r="T44" s="10" t="s">
        <v>126</v>
      </c>
      <c r="U44" s="10" t="s">
        <v>173</v>
      </c>
      <c r="V44" s="10" t="s">
        <v>754</v>
      </c>
      <c r="W44" s="10" t="s">
        <v>756</v>
      </c>
      <c r="X44" s="10"/>
      <c r="Y44" s="10" t="s">
        <v>759</v>
      </c>
      <c r="Z44" s="10" t="s">
        <v>794</v>
      </c>
      <c r="AA44" s="10" t="s">
        <v>796</v>
      </c>
      <c r="AB44" s="10" t="s">
        <v>146</v>
      </c>
      <c r="AC44" s="10" t="s">
        <v>762</v>
      </c>
      <c r="AD44" s="10"/>
    </row>
    <row r="45" customFormat="false" ht="15" hidden="false" customHeight="false" outlineLevel="0" collapsed="false">
      <c r="A45" s="10" t="n">
        <v>325</v>
      </c>
      <c r="B45" s="10" t="s">
        <v>517</v>
      </c>
      <c r="C45" s="10" t="s">
        <v>752</v>
      </c>
      <c r="D45" s="10" t="s">
        <v>528</v>
      </c>
      <c r="E45" s="10" t="s">
        <v>539</v>
      </c>
      <c r="F45" s="10" t="s">
        <v>125</v>
      </c>
      <c r="G45" s="10" t="s">
        <v>753</v>
      </c>
      <c r="H45" s="10" t="s">
        <v>127</v>
      </c>
      <c r="I45" s="10" t="s">
        <v>754</v>
      </c>
      <c r="J45" s="10" t="s">
        <v>127</v>
      </c>
      <c r="K45" s="10"/>
      <c r="L45" s="10" t="s">
        <v>124</v>
      </c>
      <c r="M45" s="10"/>
      <c r="N45" s="10" t="s">
        <v>755</v>
      </c>
      <c r="O45" s="10" t="s">
        <v>756</v>
      </c>
      <c r="P45" s="10"/>
      <c r="Q45" s="10" t="s">
        <v>757</v>
      </c>
      <c r="R45" s="10"/>
      <c r="S45" s="10" t="s">
        <v>758</v>
      </c>
      <c r="T45" s="10" t="s">
        <v>173</v>
      </c>
      <c r="U45" s="10" t="s">
        <v>173</v>
      </c>
      <c r="V45" s="10" t="s">
        <v>754</v>
      </c>
      <c r="W45" s="10" t="s">
        <v>756</v>
      </c>
      <c r="X45" s="10"/>
      <c r="Y45" s="10" t="s">
        <v>759</v>
      </c>
      <c r="Z45" s="10" t="s">
        <v>794</v>
      </c>
      <c r="AA45" s="10" t="s">
        <v>796</v>
      </c>
      <c r="AB45" s="10" t="s">
        <v>545</v>
      </c>
      <c r="AC45" s="10" t="s">
        <v>762</v>
      </c>
      <c r="AD45" s="10"/>
    </row>
    <row r="46" customFormat="false" ht="15" hidden="false" customHeight="false" outlineLevel="0" collapsed="false">
      <c r="A46" s="10" t="n">
        <v>327</v>
      </c>
      <c r="B46" s="10" t="s">
        <v>517</v>
      </c>
      <c r="C46" s="10" t="s">
        <v>752</v>
      </c>
      <c r="D46" s="10" t="s">
        <v>528</v>
      </c>
      <c r="E46" s="10" t="s">
        <v>546</v>
      </c>
      <c r="F46" s="10" t="s">
        <v>125</v>
      </c>
      <c r="G46" s="10" t="s">
        <v>753</v>
      </c>
      <c r="H46" s="10" t="s">
        <v>127</v>
      </c>
      <c r="I46" s="10" t="s">
        <v>754</v>
      </c>
      <c r="J46" s="10" t="s">
        <v>127</v>
      </c>
      <c r="K46" s="10"/>
      <c r="L46" s="10" t="s">
        <v>124</v>
      </c>
      <c r="M46" s="10"/>
      <c r="N46" s="10" t="s">
        <v>755</v>
      </c>
      <c r="O46" s="10" t="s">
        <v>756</v>
      </c>
      <c r="P46" s="10"/>
      <c r="Q46" s="10" t="s">
        <v>757</v>
      </c>
      <c r="R46" s="10"/>
      <c r="S46" s="10" t="s">
        <v>758</v>
      </c>
      <c r="T46" s="10" t="s">
        <v>126</v>
      </c>
      <c r="U46" s="10" t="s">
        <v>173</v>
      </c>
      <c r="V46" s="10" t="s">
        <v>754</v>
      </c>
      <c r="W46" s="10" t="s">
        <v>756</v>
      </c>
      <c r="X46" s="10"/>
      <c r="Y46" s="10" t="s">
        <v>759</v>
      </c>
      <c r="Z46" s="10" t="s">
        <v>794</v>
      </c>
      <c r="AA46" s="10" t="s">
        <v>796</v>
      </c>
      <c r="AB46" s="10" t="s">
        <v>552</v>
      </c>
      <c r="AC46" s="10" t="s">
        <v>762</v>
      </c>
      <c r="AD46" s="10"/>
    </row>
    <row r="47" customFormat="false" ht="15" hidden="false" customHeight="false" outlineLevel="0" collapsed="false">
      <c r="A47" s="10" t="n">
        <v>328</v>
      </c>
      <c r="B47" s="10" t="s">
        <v>517</v>
      </c>
      <c r="C47" s="10" t="s">
        <v>752</v>
      </c>
      <c r="D47" s="10" t="s">
        <v>528</v>
      </c>
      <c r="E47" s="10" t="s">
        <v>553</v>
      </c>
      <c r="F47" s="10" t="s">
        <v>125</v>
      </c>
      <c r="G47" s="10" t="s">
        <v>753</v>
      </c>
      <c r="H47" s="10" t="s">
        <v>127</v>
      </c>
      <c r="I47" s="10" t="s">
        <v>754</v>
      </c>
      <c r="J47" s="10" t="s">
        <v>127</v>
      </c>
      <c r="K47" s="10"/>
      <c r="L47" s="10" t="s">
        <v>124</v>
      </c>
      <c r="M47" s="10"/>
      <c r="N47" s="10" t="s">
        <v>755</v>
      </c>
      <c r="O47" s="10" t="s">
        <v>756</v>
      </c>
      <c r="P47" s="10"/>
      <c r="Q47" s="10" t="s">
        <v>757</v>
      </c>
      <c r="R47" s="10"/>
      <c r="S47" s="10" t="s">
        <v>758</v>
      </c>
      <c r="T47" s="10" t="s">
        <v>173</v>
      </c>
      <c r="U47" s="10" t="s">
        <v>173</v>
      </c>
      <c r="V47" s="10" t="s">
        <v>754</v>
      </c>
      <c r="W47" s="10" t="s">
        <v>756</v>
      </c>
      <c r="X47" s="10"/>
      <c r="Y47" s="10" t="s">
        <v>759</v>
      </c>
      <c r="Z47" s="10" t="s">
        <v>794</v>
      </c>
      <c r="AA47" s="10" t="s">
        <v>796</v>
      </c>
      <c r="AB47" s="10" t="s">
        <v>559</v>
      </c>
      <c r="AC47" s="10" t="s">
        <v>762</v>
      </c>
      <c r="AD47" s="10"/>
    </row>
    <row r="48" customFormat="false" ht="15" hidden="false" customHeight="false" outlineLevel="0" collapsed="false">
      <c r="A48" s="10" t="n">
        <v>329</v>
      </c>
      <c r="B48" s="10" t="s">
        <v>517</v>
      </c>
      <c r="C48" s="10" t="s">
        <v>752</v>
      </c>
      <c r="D48" s="10" t="s">
        <v>528</v>
      </c>
      <c r="E48" s="10" t="s">
        <v>560</v>
      </c>
      <c r="F48" s="10" t="s">
        <v>125</v>
      </c>
      <c r="G48" s="10" t="s">
        <v>753</v>
      </c>
      <c r="H48" s="10" t="s">
        <v>127</v>
      </c>
      <c r="I48" s="10" t="s">
        <v>754</v>
      </c>
      <c r="J48" s="10" t="s">
        <v>127</v>
      </c>
      <c r="K48" s="10"/>
      <c r="L48" s="10" t="s">
        <v>124</v>
      </c>
      <c r="M48" s="10"/>
      <c r="N48" s="10" t="s">
        <v>755</v>
      </c>
      <c r="O48" s="10" t="s">
        <v>756</v>
      </c>
      <c r="P48" s="10"/>
      <c r="Q48" s="10" t="s">
        <v>757</v>
      </c>
      <c r="R48" s="10"/>
      <c r="S48" s="10" t="s">
        <v>758</v>
      </c>
      <c r="T48" s="10" t="s">
        <v>173</v>
      </c>
      <c r="U48" s="10" t="s">
        <v>173</v>
      </c>
      <c r="V48" s="10" t="s">
        <v>754</v>
      </c>
      <c r="W48" s="10" t="s">
        <v>756</v>
      </c>
      <c r="X48" s="10"/>
      <c r="Y48" s="10" t="s">
        <v>759</v>
      </c>
      <c r="Z48" s="10" t="s">
        <v>794</v>
      </c>
      <c r="AA48" s="10" t="s">
        <v>796</v>
      </c>
      <c r="AB48" s="10" t="s">
        <v>565</v>
      </c>
      <c r="AC48" s="10" t="s">
        <v>762</v>
      </c>
      <c r="AD48" s="10"/>
    </row>
    <row r="49" customFormat="false" ht="15" hidden="false" customHeight="false" outlineLevel="0" collapsed="false">
      <c r="A49" s="10" t="n">
        <v>432</v>
      </c>
      <c r="B49" s="10" t="s">
        <v>566</v>
      </c>
      <c r="C49" s="10" t="s">
        <v>752</v>
      </c>
      <c r="D49" s="10" t="s">
        <v>567</v>
      </c>
      <c r="E49" s="10" t="s">
        <v>568</v>
      </c>
      <c r="F49" s="10" t="s">
        <v>172</v>
      </c>
      <c r="G49" s="10" t="s">
        <v>753</v>
      </c>
      <c r="H49" s="10" t="s">
        <v>127</v>
      </c>
      <c r="I49" s="10" t="s">
        <v>754</v>
      </c>
      <c r="J49" s="10" t="s">
        <v>127</v>
      </c>
      <c r="K49" s="10"/>
      <c r="L49" s="10" t="s">
        <v>124</v>
      </c>
      <c r="M49" s="10"/>
      <c r="N49" s="10" t="s">
        <v>755</v>
      </c>
      <c r="O49" s="10" t="s">
        <v>756</v>
      </c>
      <c r="P49" s="10"/>
      <c r="Q49" s="10" t="s">
        <v>757</v>
      </c>
      <c r="R49" s="10"/>
      <c r="S49" s="10" t="s">
        <v>758</v>
      </c>
      <c r="T49" s="10" t="s">
        <v>126</v>
      </c>
      <c r="U49" s="10" t="s">
        <v>126</v>
      </c>
      <c r="V49" s="10" t="s">
        <v>754</v>
      </c>
      <c r="W49" s="10" t="s">
        <v>756</v>
      </c>
      <c r="X49" s="10"/>
      <c r="Y49" s="10" t="s">
        <v>759</v>
      </c>
      <c r="Z49" s="10" t="s">
        <v>797</v>
      </c>
      <c r="AA49" s="10" t="s">
        <v>798</v>
      </c>
      <c r="AB49" s="10" t="s">
        <v>574</v>
      </c>
      <c r="AC49" s="10" t="s">
        <v>762</v>
      </c>
      <c r="AD49" s="10"/>
    </row>
    <row r="50" customFormat="false" ht="15" hidden="false" customHeight="false" outlineLevel="0" collapsed="false">
      <c r="A50" s="10" t="n">
        <v>433</v>
      </c>
      <c r="B50" s="10" t="s">
        <v>566</v>
      </c>
      <c r="C50" s="10" t="s">
        <v>752</v>
      </c>
      <c r="D50" s="10" t="s">
        <v>567</v>
      </c>
      <c r="E50" s="10" t="s">
        <v>575</v>
      </c>
      <c r="F50" s="10" t="s">
        <v>172</v>
      </c>
      <c r="G50" s="10" t="s">
        <v>753</v>
      </c>
      <c r="H50" s="10" t="s">
        <v>127</v>
      </c>
      <c r="I50" s="10" t="s">
        <v>754</v>
      </c>
      <c r="J50" s="10" t="s">
        <v>127</v>
      </c>
      <c r="K50" s="10"/>
      <c r="L50" s="10" t="s">
        <v>124</v>
      </c>
      <c r="M50" s="10"/>
      <c r="N50" s="10" t="s">
        <v>755</v>
      </c>
      <c r="O50" s="10" t="s">
        <v>756</v>
      </c>
      <c r="P50" s="10"/>
      <c r="Q50" s="10" t="s">
        <v>757</v>
      </c>
      <c r="R50" s="10"/>
      <c r="S50" s="10" t="s">
        <v>758</v>
      </c>
      <c r="T50" s="10" t="s">
        <v>126</v>
      </c>
      <c r="U50" s="10" t="s">
        <v>126</v>
      </c>
      <c r="V50" s="10" t="s">
        <v>754</v>
      </c>
      <c r="W50" s="10" t="s">
        <v>756</v>
      </c>
      <c r="X50" s="10" t="s">
        <v>799</v>
      </c>
      <c r="Y50" s="10" t="s">
        <v>763</v>
      </c>
      <c r="Z50" s="10" t="s">
        <v>797</v>
      </c>
      <c r="AA50" s="10" t="s">
        <v>798</v>
      </c>
      <c r="AB50" s="10" t="s">
        <v>580</v>
      </c>
      <c r="AC50" s="10" t="s">
        <v>762</v>
      </c>
      <c r="AD50" s="10"/>
    </row>
    <row r="51" customFormat="false" ht="15" hidden="false" customHeight="false" outlineLevel="0" collapsed="false">
      <c r="A51" s="10" t="n">
        <v>434</v>
      </c>
      <c r="B51" s="10" t="s">
        <v>566</v>
      </c>
      <c r="C51" s="10" t="s">
        <v>752</v>
      </c>
      <c r="D51" s="10" t="s">
        <v>567</v>
      </c>
      <c r="E51" s="10" t="s">
        <v>581</v>
      </c>
      <c r="F51" s="10" t="s">
        <v>800</v>
      </c>
      <c r="G51" s="10" t="s">
        <v>753</v>
      </c>
      <c r="H51" s="10" t="s">
        <v>127</v>
      </c>
      <c r="I51" s="10" t="s">
        <v>754</v>
      </c>
      <c r="J51" s="10" t="s">
        <v>127</v>
      </c>
      <c r="K51" s="10"/>
      <c r="L51" s="10" t="s">
        <v>124</v>
      </c>
      <c r="M51" s="10"/>
      <c r="N51" s="10" t="s">
        <v>755</v>
      </c>
      <c r="O51" s="10" t="s">
        <v>756</v>
      </c>
      <c r="P51" s="10"/>
      <c r="Q51" s="10" t="s">
        <v>757</v>
      </c>
      <c r="R51" s="10"/>
      <c r="S51" s="10" t="s">
        <v>778</v>
      </c>
      <c r="T51" s="10" t="s">
        <v>126</v>
      </c>
      <c r="U51" s="10" t="s">
        <v>126</v>
      </c>
      <c r="V51" s="10" t="s">
        <v>754</v>
      </c>
      <c r="W51" s="10" t="s">
        <v>756</v>
      </c>
      <c r="X51" s="10"/>
      <c r="Y51" s="10" t="s">
        <v>759</v>
      </c>
      <c r="Z51" s="10" t="s">
        <v>797</v>
      </c>
      <c r="AA51" s="10" t="s">
        <v>798</v>
      </c>
      <c r="AB51" s="10" t="s">
        <v>585</v>
      </c>
      <c r="AC51" s="10" t="s">
        <v>762</v>
      </c>
      <c r="AD51" s="10"/>
    </row>
    <row r="52" customFormat="false" ht="15" hidden="false" customHeight="false" outlineLevel="0" collapsed="false">
      <c r="A52" s="10" t="n">
        <v>436</v>
      </c>
      <c r="B52" s="10" t="s">
        <v>566</v>
      </c>
      <c r="C52" s="10" t="s">
        <v>752</v>
      </c>
      <c r="D52" s="10" t="s">
        <v>567</v>
      </c>
      <c r="E52" s="10" t="s">
        <v>586</v>
      </c>
      <c r="F52" s="10" t="s">
        <v>125</v>
      </c>
      <c r="G52" s="10" t="s">
        <v>753</v>
      </c>
      <c r="H52" s="10" t="s">
        <v>127</v>
      </c>
      <c r="I52" s="10" t="s">
        <v>754</v>
      </c>
      <c r="J52" s="10" t="s">
        <v>127</v>
      </c>
      <c r="K52" s="10"/>
      <c r="L52" s="10" t="s">
        <v>124</v>
      </c>
      <c r="M52" s="10"/>
      <c r="N52" s="10" t="s">
        <v>755</v>
      </c>
      <c r="O52" s="10" t="s">
        <v>756</v>
      </c>
      <c r="P52" s="10"/>
      <c r="Q52" s="10" t="s">
        <v>757</v>
      </c>
      <c r="R52" s="10"/>
      <c r="S52" s="10" t="s">
        <v>758</v>
      </c>
      <c r="T52" s="10" t="s">
        <v>126</v>
      </c>
      <c r="U52" s="10" t="s">
        <v>126</v>
      </c>
      <c r="V52" s="10" t="s">
        <v>754</v>
      </c>
      <c r="W52" s="10" t="s">
        <v>756</v>
      </c>
      <c r="X52" s="10"/>
      <c r="Y52" s="10" t="s">
        <v>759</v>
      </c>
      <c r="Z52" s="10" t="s">
        <v>797</v>
      </c>
      <c r="AA52" s="10" t="s">
        <v>798</v>
      </c>
      <c r="AB52" s="10" t="s">
        <v>592</v>
      </c>
      <c r="AC52" s="10" t="s">
        <v>762</v>
      </c>
      <c r="AD52" s="10"/>
    </row>
    <row r="53" customFormat="false" ht="15" hidden="false" customHeight="false" outlineLevel="0" collapsed="false">
      <c r="A53" s="10" t="n">
        <v>437</v>
      </c>
      <c r="B53" s="10" t="s">
        <v>566</v>
      </c>
      <c r="C53" s="10" t="s">
        <v>752</v>
      </c>
      <c r="D53" s="10" t="s">
        <v>567</v>
      </c>
      <c r="E53" s="10" t="s">
        <v>593</v>
      </c>
      <c r="F53" s="10" t="s">
        <v>172</v>
      </c>
      <c r="G53" s="10" t="s">
        <v>753</v>
      </c>
      <c r="H53" s="10" t="s">
        <v>127</v>
      </c>
      <c r="I53" s="10" t="s">
        <v>754</v>
      </c>
      <c r="J53" s="10" t="s">
        <v>127</v>
      </c>
      <c r="K53" s="10"/>
      <c r="L53" s="10" t="s">
        <v>124</v>
      </c>
      <c r="M53" s="10"/>
      <c r="N53" s="10" t="s">
        <v>755</v>
      </c>
      <c r="O53" s="10" t="s">
        <v>756</v>
      </c>
      <c r="P53" s="10"/>
      <c r="Q53" s="10" t="s">
        <v>757</v>
      </c>
      <c r="R53" s="10"/>
      <c r="S53" s="10" t="s">
        <v>758</v>
      </c>
      <c r="T53" s="10" t="s">
        <v>126</v>
      </c>
      <c r="U53" s="10" t="s">
        <v>126</v>
      </c>
      <c r="V53" s="10" t="s">
        <v>754</v>
      </c>
      <c r="W53" s="10" t="s">
        <v>756</v>
      </c>
      <c r="X53" s="10"/>
      <c r="Y53" s="10" t="s">
        <v>759</v>
      </c>
      <c r="Z53" s="10" t="s">
        <v>797</v>
      </c>
      <c r="AA53" s="10" t="s">
        <v>798</v>
      </c>
      <c r="AB53" s="10" t="s">
        <v>598</v>
      </c>
      <c r="AC53" s="10" t="s">
        <v>762</v>
      </c>
      <c r="AD53" s="10"/>
    </row>
    <row r="54" customFormat="false" ht="15" hidden="false" customHeight="false" outlineLevel="0" collapsed="false">
      <c r="A54" s="10" t="n">
        <v>438</v>
      </c>
      <c r="B54" s="10" t="s">
        <v>566</v>
      </c>
      <c r="C54" s="10" t="s">
        <v>752</v>
      </c>
      <c r="D54" s="10" t="s">
        <v>567</v>
      </c>
      <c r="E54" s="10" t="s">
        <v>599</v>
      </c>
      <c r="F54" s="10" t="s">
        <v>172</v>
      </c>
      <c r="G54" s="10" t="s">
        <v>753</v>
      </c>
      <c r="H54" s="10" t="s">
        <v>127</v>
      </c>
      <c r="I54" s="10" t="s">
        <v>754</v>
      </c>
      <c r="J54" s="10" t="s">
        <v>127</v>
      </c>
      <c r="K54" s="10"/>
      <c r="L54" s="10" t="s">
        <v>124</v>
      </c>
      <c r="M54" s="10"/>
      <c r="N54" s="10" t="s">
        <v>755</v>
      </c>
      <c r="O54" s="10" t="s">
        <v>756</v>
      </c>
      <c r="P54" s="10"/>
      <c r="Q54" s="10" t="s">
        <v>757</v>
      </c>
      <c r="R54" s="10"/>
      <c r="S54" s="10" t="s">
        <v>758</v>
      </c>
      <c r="T54" s="10" t="s">
        <v>173</v>
      </c>
      <c r="U54" s="10" t="s">
        <v>126</v>
      </c>
      <c r="V54" s="10" t="s">
        <v>754</v>
      </c>
      <c r="W54" s="10" t="s">
        <v>756</v>
      </c>
      <c r="X54" s="10"/>
      <c r="Y54" s="10" t="s">
        <v>759</v>
      </c>
      <c r="Z54" s="10" t="s">
        <v>797</v>
      </c>
      <c r="AA54" s="10" t="s">
        <v>798</v>
      </c>
      <c r="AB54" s="10" t="s">
        <v>607</v>
      </c>
      <c r="AC54" s="10" t="s">
        <v>762</v>
      </c>
      <c r="AD54" s="10"/>
    </row>
    <row r="55" customFormat="false" ht="15" hidden="false" customHeight="false" outlineLevel="0" collapsed="false">
      <c r="A55" s="10" t="n">
        <v>441</v>
      </c>
      <c r="B55" s="10" t="s">
        <v>566</v>
      </c>
      <c r="C55" s="10" t="s">
        <v>752</v>
      </c>
      <c r="D55" s="10" t="s">
        <v>608</v>
      </c>
      <c r="E55" s="10" t="s">
        <v>609</v>
      </c>
      <c r="F55" s="10" t="s">
        <v>172</v>
      </c>
      <c r="G55" s="10" t="s">
        <v>753</v>
      </c>
      <c r="H55" s="10" t="s">
        <v>127</v>
      </c>
      <c r="I55" s="10" t="s">
        <v>754</v>
      </c>
      <c r="J55" s="10" t="s">
        <v>127</v>
      </c>
      <c r="K55" s="10"/>
      <c r="L55" s="10" t="s">
        <v>124</v>
      </c>
      <c r="M55" s="10"/>
      <c r="N55" s="10" t="s">
        <v>755</v>
      </c>
      <c r="O55" s="10" t="s">
        <v>756</v>
      </c>
      <c r="P55" s="10"/>
      <c r="Q55" s="10" t="s">
        <v>757</v>
      </c>
      <c r="R55" s="10"/>
      <c r="S55" s="10" t="s">
        <v>758</v>
      </c>
      <c r="T55" s="10" t="s">
        <v>173</v>
      </c>
      <c r="U55" s="10" t="s">
        <v>173</v>
      </c>
      <c r="V55" s="10" t="s">
        <v>754</v>
      </c>
      <c r="W55" s="10" t="s">
        <v>756</v>
      </c>
      <c r="X55" s="10"/>
      <c r="Y55" s="10" t="s">
        <v>759</v>
      </c>
      <c r="Z55" s="10" t="s">
        <v>797</v>
      </c>
      <c r="AA55" s="10" t="s">
        <v>801</v>
      </c>
      <c r="AB55" s="10" t="s">
        <v>617</v>
      </c>
      <c r="AC55" s="10" t="s">
        <v>762</v>
      </c>
      <c r="AD55" s="10"/>
    </row>
    <row r="56" customFormat="false" ht="15" hidden="false" customHeight="false" outlineLevel="0" collapsed="false">
      <c r="A56" s="10" t="n">
        <v>456</v>
      </c>
      <c r="B56" s="10" t="s">
        <v>618</v>
      </c>
      <c r="C56" s="10" t="s">
        <v>752</v>
      </c>
      <c r="D56" s="10" t="s">
        <v>619</v>
      </c>
      <c r="E56" s="10" t="s">
        <v>620</v>
      </c>
      <c r="F56" s="10" t="s">
        <v>172</v>
      </c>
      <c r="G56" s="10" t="s">
        <v>753</v>
      </c>
      <c r="H56" s="10" t="s">
        <v>127</v>
      </c>
      <c r="I56" s="10" t="s">
        <v>754</v>
      </c>
      <c r="J56" s="10" t="s">
        <v>127</v>
      </c>
      <c r="K56" s="10"/>
      <c r="L56" s="10" t="s">
        <v>124</v>
      </c>
      <c r="M56" s="10"/>
      <c r="N56" s="10" t="s">
        <v>755</v>
      </c>
      <c r="O56" s="10" t="s">
        <v>756</v>
      </c>
      <c r="P56" s="10"/>
      <c r="Q56" s="10" t="s">
        <v>757</v>
      </c>
      <c r="R56" s="10"/>
      <c r="S56" s="10" t="s">
        <v>758</v>
      </c>
      <c r="T56" s="10" t="s">
        <v>173</v>
      </c>
      <c r="U56" s="10" t="s">
        <v>126</v>
      </c>
      <c r="V56" s="10" t="s">
        <v>754</v>
      </c>
      <c r="W56" s="10" t="s">
        <v>756</v>
      </c>
      <c r="X56" s="10"/>
      <c r="Y56" s="10" t="s">
        <v>759</v>
      </c>
      <c r="Z56" s="10" t="s">
        <v>802</v>
      </c>
      <c r="AA56" s="10" t="s">
        <v>803</v>
      </c>
      <c r="AB56" s="10" t="s">
        <v>627</v>
      </c>
      <c r="AC56" s="10" t="s">
        <v>762</v>
      </c>
      <c r="AD56"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2026-10-08T08:09:15Z</dcterms:created>
  <dc:creator>openpyxl</dc:creator>
  <dc:description/>
  <dc:language>en-US</dc:language>
  <cp:lastModifiedBy/>
  <dcterms:modified xsi:type="dcterms:W3CDTF">2026-10-08T08:09:15Z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